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NB_2231_Quantum-Si Incorporated" sheetId="2" r:id="rId2"/>
    <sheet name="NB_2232_QT Imaging Holdings Inc" sheetId="3" r:id="rId3"/>
    <sheet name="NB_2233_Quanterix Corporation C" sheetId="4" r:id="rId4"/>
    <sheet name="NB_2234_Q32 Bio Inc. Common Sto" sheetId="5" r:id="rId5"/>
    <sheet name="NB_2235_Q2 Holdings Inc. Common" sheetId="6" r:id="rId6"/>
    <sheet name="NB_2236_Quad Graphics Inc Class" sheetId="7" r:id="rId7"/>
    <sheet name="NB_2237_Quantum Computing Inc. " sheetId="8" r:id="rId8"/>
    <sheet name="NB_2238_QuickLogic Corporation " sheetId="9" r:id="rId9"/>
    <sheet name="NB_2239_QVC Group Inc. Common S" sheetId="10" r:id="rId10"/>
    <sheet name="NB_2240_QXO Inc. Common Stock" sheetId="11" r:id="rId11"/>
    <sheet name="NB_2241_Ryder System Inc. Commo" sheetId="12" r:id="rId12"/>
    <sheet name="NB_2242_FreightCar America Inc." sheetId="13" r:id="rId13"/>
    <sheet name="NB_2243_Rain Enhancement Techno" sheetId="14" r:id="rId14"/>
    <sheet name="NB_2244_Ralliant Corporation Co" sheetId="15" r:id="rId15"/>
    <sheet name="NB_2245_LiveRamp Holdings Inc. " sheetId="16" r:id="rId16"/>
    <sheet name="NB_2246_Rani Therapeutics Holdi" sheetId="17" r:id="rId17"/>
    <sheet name="NB_2247_Rapport Therapeutics In" sheetId="18" r:id="rId18"/>
    <sheet name="NB_2248_Ultragenyx Pharmaceutic" sheetId="19" r:id="rId19"/>
    <sheet name="NB_2249_Rave Restaurant Group I" sheetId="20" r:id="rId20"/>
    <sheet name="NB_2250_Ribbon Communications I" sheetId="21" r:id="rId21"/>
    <sheet name="NB_2251_RBC Bearings Incorporat" sheetId="22" r:id="rId22"/>
    <sheet name="NB_2252_Roblox Corporation Clas" sheetId="23" r:id="rId23"/>
    <sheet name="NB_2253_Rubrik Inc. Class A Com" sheetId="24" r:id="rId24"/>
    <sheet name="NB_2254_Red Cat Holdings Inc. C" sheetId="25" r:id="rId25"/>
    <sheet name="NB_2255_Avita Medical Inc. Comm" sheetId="26" r:id="rId26"/>
    <sheet name="NB_2256_Rocket Pharmaceuticals " sheetId="27" r:id="rId27"/>
    <sheet name="NB_2257_Rocky Brands Inc. Commo" sheetId="28" r:id="rId28"/>
    <sheet name="NB_2258_Royal Caribbean Cruises" sheetId="29" r:id="rId29"/>
    <sheet name="NB_2259_RCM Technologies Inc. C" sheetId="30" r:id="rId30"/>
    <sheet name="NB_2260_Arcus Biosciences Inc. " sheetId="31" r:id="rId31"/>
    <sheet name="NB_2261_Reddit Inc. Class A Com" sheetId="32" r:id="rId32"/>
    <sheet name="NB_2262_Reading International I" sheetId="33" r:id="rId33"/>
    <sheet name="NB_2263_Reading International I" sheetId="34" r:id="rId34"/>
    <sheet name="NB_2264_RadNet Inc. Common Stoc" sheetId="35" r:id="rId35"/>
    <sheet name="NB_2265_RideNow Group Inc. Clas" sheetId="36" r:id="rId36"/>
    <sheet name="NB_2266_Red Violet Inc. Common " sheetId="37" r:id="rId37"/>
    <sheet name="NB_2267_Redwire Corporation Com" sheetId="38" r:id="rId38"/>
    <sheet name="NB_2268_The RealReal Inc. Commo" sheetId="39" r:id="rId39"/>
    <sheet name="NB_2269_Reborn Coffee Inc. Comm" sheetId="40" r:id="rId40"/>
    <sheet name="NB_2270_Regeneron Pharmaceutica" sheetId="41" r:id="rId41"/>
    <sheet name="NB_2271_Ring Energy Inc. Common" sheetId="42" r:id="rId42"/>
    <sheet name="NB_2272_Rekor Systems Inc. Comm" sheetId="43" r:id="rId43"/>
    <sheet name="NB_2273_Richardson Electronics " sheetId="44" r:id="rId44"/>
    <sheet name="NB_2274_Remitly Global Inc. Com" sheetId="45" r:id="rId45"/>
    <sheet name="NB_2275_Rent the Runway Inc. Cl" sheetId="46" r:id="rId46"/>
    <sheet name="NB_2276_RenX Enterprises Corp. " sheetId="47" r:id="rId47"/>
    <sheet name="NB_2277_Replimune Group Inc. Co" sheetId="48" r:id="rId48"/>
    <sheet name="NB_2278_Riley Exploration Permi" sheetId="49" r:id="rId49"/>
    <sheet name="NB_2279_RPC Inc. Common Stock" sheetId="50" r:id="rId50"/>
    <sheet name="NB_2280_Revelation Biosciences " sheetId="51" r:id="rId51"/>
    <sheet name="NB_2281_Revelation Biosciences " sheetId="52" r:id="rId52"/>
    <sheet name="NB_2282_REX American Resources " sheetId="53" r:id="rId53"/>
    <sheet name="NB_2283_Reynolds Consumer Produ" sheetId="54" r:id="rId54"/>
    <sheet name="NB_2284_Resideo Technologies In" sheetId="55" r:id="rId55"/>
    <sheet name="NB_2285_RF Industries Ltd. Comm" sheetId="56" r:id="rId56"/>
    <sheet name="NB_2286_Rafael Holdings Inc. Cl" sheetId="57" r:id="rId57"/>
    <sheet name="NB_2287_RGC Resources Inc. Comm" sheetId="58" r:id="rId58"/>
    <sheet name="NB_2288_Repligen Corporation Co" sheetId="59" r:id="rId59"/>
    <sheet name="NB_2289_Royal Gold Inc. Common " sheetId="60" r:id="rId60"/>
    <sheet name="NB_2290_REGENXBIO Inc. Common S" sheetId="61" r:id="rId61"/>
    <sheet name="NB_2291_Resources Connection In" sheetId="62" r:id="rId62"/>
    <sheet name="NB_2292_Sturm Ruger &amp; Company I" sheetId="63" r:id="rId63"/>
    <sheet name="NB_2293_Regis Corporation Commo" sheetId="64" r:id="rId64"/>
    <sheet name="NB_2294_Rigetti Computing Inc. " sheetId="65" r:id="rId65"/>
    <sheet name="NB_2295_Rigetti Computing Inc. " sheetId="66" r:id="rId66"/>
    <sheet name="NB_2296_RH Common Stock" sheetId="67" r:id="rId67"/>
    <sheet name="NB_2297_Robert Half Inc. Common" sheetId="68" r:id="rId68"/>
    <sheet name="NB_2298_RCI Hospitality Holding" sheetId="69" r:id="rId69"/>
    <sheet name="NB_2299_Rigel Pharmaceuticals I" sheetId="70" r:id="rId70"/>
    <sheet name="NB_2300_Algorhythm Holdings Inc" sheetId="71" r:id="rId71"/>
    <sheet name="NB_2301_Rivian Automotive Inc. " sheetId="72" r:id="rId72"/>
    <sheet name="NB_2302_Republic Airways Holdin" sheetId="73" r:id="rId73"/>
    <sheet name="NB_2303_Arcadia Biosciences Inc" sheetId="74" r:id="rId74"/>
    <sheet name="NB_2304_Rocket Lab Corporation " sheetId="75" r:id="rId75"/>
    <sheet name="NB_2305_Rocket One Inc. Common " sheetId="76" r:id="rId76"/>
    <sheet name="NB_2306_Ralph Lauren Corporatio" sheetId="77" r:id="rId77"/>
    <sheet name="NB_2307_Relay Therapeutics Inc." sheetId="78" r:id="rId78"/>
    <sheet name="NB_2308_Radiant Logistics Inc. " sheetId="79" r:id="rId79"/>
    <sheet name="NB_2309_Relmada Therapeutics In" sheetId="80" r:id="rId80"/>
    <sheet name="NB_2310_Rallybio Corporation Co" sheetId="81" r:id="rId81"/>
    <sheet name="NB_2311_Rambus Inc. Common Stoc" sheetId="82" r:id="rId82"/>
    <sheet name="NB_2312_Rocky Mountain Chocolat" sheetId="83" r:id="rId83"/>
    <sheet name="NB_2313_ResMed Inc. Common Stoc" sheetId="84" r:id="rId84"/>
    <sheet name="NB_2314_Suncrete Inc. Class A C" sheetId="85" r:id="rId85"/>
    <sheet name="NB_2315_Rimini Street Inc. (DE)" sheetId="86" r:id="rId86"/>
    <sheet name="NB_2316_The RMR Group Inc. Clas" sheetId="87" r:id="rId87"/>
    <sheet name="NB_2317_Real Messenger Corporat" sheetId="88" r:id="rId88"/>
    <sheet name="NB_2318_Real Messenger Corporat" sheetId="89" r:id="rId89"/>
    <sheet name="NB_2319_Rockwell Medical Inc. C" sheetId="90" r:id="rId90"/>
    <sheet name="NB_2320_Atrium Therapeutics Inc" sheetId="91" r:id="rId91"/>
    <sheet name="NB_2321_Cartesian Therapeutics " sheetId="92" r:id="rId92"/>
    <sheet name="NB_2322_TransCode Therapeutics " sheetId="93" r:id="rId93"/>
    <sheet name="NB_2323_RingCentral Inc. Class " sheetId="94" r:id="rId94"/>
    <sheet name="NB_2324_Ranger Energy Services " sheetId="95" r:id="rId95"/>
    <sheet name="NB_2325_Rein Therapeutics Inc. " sheetId="96" r:id="rId96"/>
    <sheet name="NB_2326_RenovoRx Inc. Common St" sheetId="97" r:id="rId97"/>
    <sheet name="NB_2327_Construction Partners I" sheetId="98" r:id="rId98"/>
    <sheet name="NB_2328_Rank One Computing Corp" sheetId="99" r:id="rId99"/>
    <sheet name="NB_2329_Gibraltar Industries In" sheetId="100" r:id="rId100"/>
    <sheet name="NB_2330_Rogers Corporation Comm" sheetId="101" r:id="rId101"/>
    <sheet name="NB_2331_Rockwell Automation Inc" sheetId="102" r:id="rId102"/>
    <sheet name="NB_2332_Roku Inc. Class A Commo" sheetId="103" r:id="rId103"/>
    <sheet name="NB_2333_Rollins Inc. Common Sto" sheetId="104" r:id="rId104"/>
    <sheet name="NB_2334_Roper Technologies Inc." sheetId="105" r:id="rId105"/>
    <sheet name="NB_2335_Ross Stores Inc. Common" sheetId="106" r:id="rId106"/>
    <sheet name="NB_2336_Repay Holdings Corporat" sheetId="107" r:id="rId107"/>
    <sheet name="NB_2337_Rapid7 Inc. Common Stoc" sheetId="108" r:id="rId108"/>
    <sheet name="NB_2338_Rapid Micro Biosystems " sheetId="109" r:id="rId109"/>
    <sheet name="NB_2339_RPM International Inc. " sheetId="110" r:id="rId110"/>
    <sheet name="NB_2340_Royalty Pharma plc Clas" sheetId="111" r:id="rId111"/>
    <sheet name="NB_2341_Richtech Robotics Inc. " sheetId="112" r:id="rId112"/>
    <sheet name="NB_2342_Range Resources Corpora" sheetId="113" r:id="rId113"/>
    <sheet name="NB_2343_Red Robin Gourmet Burge" sheetId="114" r:id="rId114"/>
    <sheet name="NB_2344_Red Rock Resorts Inc. C" sheetId="115" r:id="rId115"/>
    <sheet name="NB_2345_Regal Rexnord Corporati" sheetId="116" r:id="rId116"/>
    <sheet name="NB_2346_Reliance Inc. Common St" sheetId="117" r:id="rId117"/>
    <sheet name="NB_2347_Republic Services Inc. " sheetId="118" r:id="rId118"/>
    <sheet name="NB_2348_Rush Street Interactive" sheetId="119" r:id="rId119"/>
    <sheet name="NB_2349_Research Solutions Inc " sheetId="120" r:id="rId120"/>
    <sheet name="NB_2350_Reservoir Media Inc. Co" sheetId="121" r:id="rId121"/>
    <sheet name="NB_2351_RTB Digital Inc. Common" sheetId="122" r:id="rId122"/>
    <sheet name="NB_2352_Rentokil Initial plc Am" sheetId="123" r:id="rId123"/>
    <sheet name="NB_2353_RTX Corporation Common " sheetId="124" r:id="rId124"/>
    <sheet name="NB_2354_RUM Group Inc. Class A " sheetId="125" r:id="rId125"/>
    <sheet name="NB_2355_RUM Group Inc. Warrant" sheetId="126" r:id="rId126"/>
    <sheet name="NB_2356_Rush Enterprises Inc. C" sheetId="127" r:id="rId127"/>
    <sheet name="NB_2357_Rush Enterprises Inc. C" sheetId="128" r:id="rId128"/>
    <sheet name="NB_2358_Revolve Group Inc. Clas" sheetId="129" r:id="rId129"/>
    <sheet name="NB_2359_Revolution Medicines In" sheetId="130" r:id="rId130"/>
    <sheet name="NB_2360_Revolution Medicines In" sheetId="131" r:id="rId131"/>
    <sheet name="NB_2361_Retractable Technologie" sheetId="132" r:id="rId132"/>
    <sheet name="NB_2362_Revvity Inc. Common Sto" sheetId="133" r:id="rId133"/>
    <sheet name="NB_2363_RXO Inc. Common Stock" sheetId="134" r:id="rId134"/>
    <sheet name="NB_2364_Recursion Pharmaceutica" sheetId="135" r:id="rId135"/>
    <sheet name="NB_2365_RxSight Inc. Common Sto" sheetId="136" r:id="rId136"/>
    <sheet name="NB_2366_Rackspace Technology In" sheetId="137" r:id="rId137"/>
    <sheet name="NB_2367_Rayonier Advanced Mater" sheetId="138" r:id="rId138"/>
    <sheet name="NB_2368_RYTHM Inc. Common Stock" sheetId="139" r:id="rId139"/>
    <sheet name="NB_2369_Rhythm Pharmaceuticals " sheetId="140" r:id="rId140"/>
    <sheet name="NB_2370_Ryerson Holding Corpora" sheetId="141" r:id="rId141"/>
    <sheet name="NB_2371_Rezolute Inc. Common St" sheetId="142" r:id="rId142"/>
    <sheet name="NB_2372_SentinelOne Inc. Class " sheetId="143" r:id="rId143"/>
    <sheet name="NB_2373_Sabre Corporation Commo" sheetId="144" r:id="rId144"/>
    <sheet name="NB_2374_SAB Biotherapeutics Inc" sheetId="145" r:id="rId145"/>
    <sheet name="NB_2375_SAB Biotherapeutics Inc" sheetId="146" r:id="rId146"/>
    <sheet name="NB_2376_XCF Global Inc. Class A" sheetId="147" r:id="rId147"/>
    <sheet name="NB_2377_Sonic Automotive Inc. C" sheetId="148" r:id="rId148"/>
    <sheet name="NB_2378_Saia Inc. Common Stock" sheetId="149" r:id="rId149"/>
    <sheet name="NB_2379_Science Applications In" sheetId="150" r:id="rId150"/>
    <sheet name="NB_2380_SailPoint Inc. Common S" sheetId="151" r:id="rId151"/>
    <sheet name="NB_2381_Boston Beer Company Inc" sheetId="152" r:id="rId152"/>
    <sheet name="NB_2382_Sana Biotechnology Inc." sheetId="153" r:id="rId153"/>
    <sheet name="NB_2383_Sanmina Corporation Com" sheetId="154" r:id="rId154"/>
    <sheet name="NB_2384_StandardAero Inc. Commo" sheetId="155" r:id="rId155"/>
    <sheet name="NB_2385_SBC Medical Group Holdi" sheetId="156" r:id="rId156"/>
    <sheet name="NB_2386_Sharplink Inc. Common S" sheetId="157" r:id="rId157"/>
    <sheet name="NB_2387_Sinclair Inc. Class A C" sheetId="158" r:id="rId158"/>
    <sheet name="NB_2388_Sally Beauty Holdings I" sheetId="159" r:id="rId159"/>
    <sheet name="NB_2389_Sabine Royalty Trust Co" sheetId="160" r:id="rId160"/>
    <sheet name="NB_2390_Starbucks Corporation C" sheetId="161" r:id="rId161"/>
    <sheet name="NB_2391_Southern Copper Corpora" sheetId="162" r:id="rId162"/>
    <sheet name="NB_2392_Scholastic Corporation " sheetId="163" r:id="rId163"/>
    <sheet name="NB_2393_Service Corporation Int" sheetId="164" r:id="rId164"/>
    <sheet name="NB_2394_Socket Mobile Inc. Comm" sheetId="165" r:id="rId165"/>
    <sheet name="NB_2395_Stepan Company Common S" sheetId="166" r:id="rId166"/>
    <sheet name="NB_2396_Scilex Holding Company " sheetId="167" r:id="rId167"/>
    <sheet name="NB_2397_Scilex Holding Company " sheetId="168" r:id="rId168"/>
    <sheet name="NB_2398_Scienture Holdings Inc." sheetId="169" r:id="rId169"/>
    <sheet name="NB_2399_comScore Inc. Common St" sheetId="170" r:id="rId170"/>
    <sheet name="NB_2400_ScanSource Inc. Common " sheetId="171" r:id="rId171"/>
    <sheet name="NB_2401_Scribe Therapeutics Inc" sheetId="172" r:id="rId172"/>
    <sheet name="NB_2402_374Water Inc. Common St" sheetId="173" r:id="rId173"/>
    <sheet name="NB_2403_SCYNEXIS Inc. Common St" sheetId="174" r:id="rId174"/>
    <sheet name="NB_2404_SandRidge Energy Inc. C" sheetId="175" r:id="rId175"/>
    <sheet name="NB_2405_Stablecoin Development " sheetId="176" r:id="rId176"/>
    <sheet name="NB_2406_Schrodinger Inc. Common" sheetId="177" r:id="rId177"/>
    <sheet name="NB_2407_Smith Douglas Homes Cor" sheetId="178" r:id="rId178"/>
    <sheet name="NB_2408_Sadot Group Inc. Common" sheetId="179" r:id="rId179"/>
    <sheet name="NB_2409_Stardust Power Inc. Com" sheetId="180" r:id="rId180"/>
    <sheet name="NB_2410_Sea Limited American De" sheetId="181" r:id="rId181"/>
    <sheet name="NB_2411_Vivid Seats Inc. Class " sheetId="182" r:id="rId182"/>
    <sheet name="NB_2412_Vivid Seats Inc. Warran" sheetId="183" r:id="rId183"/>
    <sheet name="NB_2413_Seaboard Corporation Co" sheetId="184" r:id="rId184"/>
    <sheet name="NB_2414_Seer Inc. Class A Commo" sheetId="185" r:id="rId185"/>
    <sheet name="NB_2415_Seaport Entertainment G" sheetId="186" r:id="rId186"/>
    <sheet name="NB_2416_Sports Entertainment Ga" sheetId="187" r:id="rId187"/>
    <sheet name="NB_2417_Solaris Energy Infrastr" sheetId="188" r:id="rId188"/>
    <sheet name="NB_2418_Seneca Foods Corp. Clas" sheetId="189" r:id="rId189"/>
    <sheet name="NB_2419_Seneca Foods Corp. Clas" sheetId="190" r:id="rId190"/>
    <sheet name="NB_2420_Senseonics Holdings Inc" sheetId="191" r:id="rId191"/>
    <sheet name="NB_2421_Septerna Inc. Common St" sheetId="192" r:id="rId192"/>
    <sheet name="NB_2422_Serina Therapeutics Inc" sheetId="193" r:id="rId193"/>
    <sheet name="NB_2423_Sera Prognostics Inc. C" sheetId="194" r:id="rId194"/>
    <sheet name="NB_2424_Serve Robotics Inc. Com" sheetId="195" r:id="rId195"/>
    <sheet name="NB_2425_Aptera Motors Corp. Cla" sheetId="196" r:id="rId196"/>
    <sheet name="NB_2426_Smithfield Foods Inc. C" sheetId="197" r:id="rId197"/>
    <sheet name="NB_2427_Stitch Fix Inc. Class A" sheetId="198" r:id="rId198"/>
    <sheet name="NB_2428_Sprouts Farmers Market " sheetId="199" r:id="rId199"/>
    <sheet name="NB_2429_Sweetgreen Inc. Class A" sheetId="200" r:id="rId200"/>
    <sheet name="NB_2430_Saga Communications Inc" sheetId="201" r:id="rId201"/>
    <sheet name="NB_2431_Superior Group of Compa" sheetId="202" r:id="rId202"/>
    <sheet name="NB_2432_Sight Sciences Inc. Com" sheetId="203" r:id="rId203"/>
    <sheet name="NB_2433_Somnigroup Internationa" sheetId="204" r:id="rId204"/>
    <sheet name="NB_2434_Singularity Future Tech" sheetId="205" r:id="rId205"/>
    <sheet name="NB_2435_Sagimet Biosciences Inc" sheetId="206" r:id="rId206"/>
    <sheet name="NB_2436_SpyGlass Pharma Inc. Co" sheetId="207" r:id="rId207"/>
    <sheet name="NB_2437_Surgery Partners Inc. C" sheetId="208" r:id="rId208"/>
    <sheet name="NB_2438_Star Group L.P. Common " sheetId="209" r:id="rId209"/>
    <sheet name="NB_2439_Shake Shack Inc. Class " sheetId="210" r:id="rId210"/>
    <sheet name="NB_2440_SharonAI Holdings Inc. " sheetId="211" r:id="rId211"/>
    <sheet name="NB_2441_Sotera Health Company C" sheetId="212" r:id="rId212"/>
    <sheet name="NB_2442_Shenandoah Telecommunic" sheetId="213" r:id="rId213"/>
    <sheet name="NB_2443_Shimmick Corporation Co" sheetId="214" r:id="rId214"/>
    <sheet name="NB_2444_Shoals Technologies Gro" sheetId="215" r:id="rId215"/>
    <sheet name="NB_2445_Sunstone Hotel Investor" sheetId="216" r:id="rId216"/>
    <sheet name="NB_2446_Shoe Station Group Inc." sheetId="217" r:id="rId217"/>
    <sheet name="NB_2447_Steven Madden Ltd. Comm" sheetId="218" r:id="rId218"/>
    <sheet name="NB_2448_Shuttle Pharmaceuticals" sheetId="219" r:id="rId219"/>
    <sheet name="NB_2449_Sherwin-Williams Compan" sheetId="220" r:id="rId220"/>
    <sheet name="NB_2450_Shoulder Innovations In" sheetId="221" r:id="rId221"/>
    <sheet name="NB_2451_SI-BONE Inc. Common Sto" sheetId="222" r:id="rId222"/>
    <sheet name="NB_2452_Sidus Space Inc. Class " sheetId="223" r:id="rId223"/>
    <sheet name="NB_2453_SIFCO Industries Inc. C" sheetId="224" r:id="rId224"/>
    <sheet name="NB_2454_SIGA Technologies Inc. " sheetId="225" r:id="rId225"/>
    <sheet name="NB_2455_Silo Pharma Inc. Common" sheetId="226" r:id="rId226"/>
    <sheet name="NB_2456_SiNtx Technologies Inc." sheetId="227" r:id="rId227"/>
    <sheet name="NB_2457_Sionna Therapeutics Inc" sheetId="228" r:id="rId228"/>
    <sheet name="NB_2458_SiriusXM Holdings Inc. " sheetId="229" r:id="rId229"/>
    <sheet name="NB_2459_SiteOne Landscape Suppl" sheetId="230" r:id="rId230"/>
    <sheet name="NB_2460_SiTime Corporation Comm" sheetId="231" r:id="rId231"/>
    <sheet name="NB_2461_The J.M. Smucker Compan" sheetId="232" r:id="rId232"/>
    <sheet name="NB_2462_San Juan Basin Royalty " sheetId="233" r:id="rId233"/>
    <sheet name="NB_2463_Skillsoft Corp. Class A" sheetId="234" r:id="rId234"/>
    <sheet name="NB_2464_SkinHealth Systems Inc." sheetId="235" r:id="rId235"/>
    <sheet name="NB_2465_Champion Homes Inc. Com" sheetId="236" r:id="rId236"/>
    <sheet name="NB_2466_SkyAI Inc. Common Stock" sheetId="237" r:id="rId237"/>
    <sheet name="NB_2467_SkyAI Inc. Warrant" sheetId="238" r:id="rId238"/>
    <sheet name="NB_2468_Skye Bioscience Inc. Co" sheetId="239" r:id="rId239"/>
    <sheet name="NB_2469_Sky Quarry Inc. Common " sheetId="240" r:id="rId240"/>
    <sheet name="NB_2470_SkyWest Inc. Common Sto" sheetId="241" r:id="rId241"/>
    <sheet name="NB_2471_SKYX Platforms Corp. Co" sheetId="242" r:id="rId242"/>
    <sheet name="NB_2472_Silicon Laboratories In" sheetId="243" r:id="rId243"/>
    <sheet name="NB_2473_Solid Biosciences Inc. " sheetId="244" r:id="rId244"/>
    <sheet name="NB_2474_Super League Enterprise" sheetId="245" r:id="rId245"/>
    <sheet name="NB_2475_Silgan Holdings Inc. Co" sheetId="246" r:id="rId246"/>
    <sheet name="NB_2476_Southland Holdings Inc." sheetId="247" r:id="rId247"/>
    <sheet name="NB_2477_Stabilis Solutions Inc." sheetId="248" r:id="rId248"/>
    <sheet name="NB_2478_Soluna Holdings Inc. Co" sheetId="249" r:id="rId249"/>
    <sheet name="NB_2479_Soluna Holdings Inc 9.0" sheetId="250" r:id="rId250"/>
    <sheet name="NB_2480_Simulations Plus Inc. C" sheetId="251" r:id="rId251"/>
  </sheets>
  <calcPr calcId="124519" fullCalcOnLoad="1"/>
</workbook>
</file>

<file path=xl/sharedStrings.xml><?xml version="1.0" encoding="utf-8"?>
<sst xmlns="http://schemas.openxmlformats.org/spreadsheetml/2006/main" count="15763" uniqueCount="1156">
  <si>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</si>
  <si>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</si>
  <si>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</si>
  <si>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</si>
  <si>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</si>
  <si>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</si>
  <si>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</si>
  <si>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</si>
  <si>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</si>
  <si>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</si>
  <si>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</si>
  <si>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bloomberg_sector</t>
  </si>
  <si>
    <t>bloomberg_industry</t>
  </si>
  <si>
    <t>NB_2231</t>
  </si>
  <si>
    <t>nonbankrupt</t>
  </si>
  <si>
    <t/>
  </si>
  <si>
    <t>QSI</t>
  </si>
  <si>
    <t>Quantum-Si Incorporated Class A Common Stock</t>
  </si>
  <si>
    <t>Industrials</t>
  </si>
  <si>
    <t>Industrial Machinery/Components</t>
  </si>
  <si>
    <t>QSI US Equity</t>
  </si>
  <si>
    <t>1993-06-18</t>
  </si>
  <si>
    <t>2026-05-02</t>
  </si>
  <si>
    <t>NB_2232</t>
  </si>
  <si>
    <t>QTI</t>
  </si>
  <si>
    <t>QT Imaging Holdings Inc. Common Stock</t>
  </si>
  <si>
    <t>Health Care</t>
  </si>
  <si>
    <t>Biotechnology: Electromedical &amp; Electrotherapeutic Apparatus</t>
  </si>
  <si>
    <t>QTI US Equity</t>
  </si>
  <si>
    <t>NB_2233</t>
  </si>
  <si>
    <t>QTRX</t>
  </si>
  <si>
    <t>Quanterix Corporation Common Stock</t>
  </si>
  <si>
    <t>Biotechnology: Laboratory Analytical Instruments</t>
  </si>
  <si>
    <t>QTRX US Equity</t>
  </si>
  <si>
    <t>NB_2234</t>
  </si>
  <si>
    <t>QTTB</t>
  </si>
  <si>
    <t>Q32 Bio Inc. Common Stock</t>
  </si>
  <si>
    <t>Biotechnology: Pharmaceutical Preparations</t>
  </si>
  <si>
    <t>QTTB US Equity</t>
  </si>
  <si>
    <t>NB_2235</t>
  </si>
  <si>
    <t>QTWO</t>
  </si>
  <si>
    <t>Q2 Holdings Inc. Common Stock</t>
  </si>
  <si>
    <t>Technology</t>
  </si>
  <si>
    <t>Computer Software: Prepackaged Software</t>
  </si>
  <si>
    <t>QTWO US Equity</t>
  </si>
  <si>
    <t>NB_2236</t>
  </si>
  <si>
    <t>QUAD</t>
  </si>
  <si>
    <t>Quad Graphics Inc Class A Common Stock</t>
  </si>
  <si>
    <t>Consumer Discretionary</t>
  </si>
  <si>
    <t>Publishing</t>
  </si>
  <si>
    <t>QUAD US Equity</t>
  </si>
  <si>
    <t>NB_2237</t>
  </si>
  <si>
    <t>QUBT</t>
  </si>
  <si>
    <t>Quantum Computing Inc. Common Stock</t>
  </si>
  <si>
    <t>QUBT US Equity</t>
  </si>
  <si>
    <t>NB_2238</t>
  </si>
  <si>
    <t>QUIK</t>
  </si>
  <si>
    <t>QuickLogic Corporation Common Stock</t>
  </si>
  <si>
    <t>Semiconductors</t>
  </si>
  <si>
    <t>QUIK US Equity</t>
  </si>
  <si>
    <t>NB_2239</t>
  </si>
  <si>
    <t>QVCG</t>
  </si>
  <si>
    <t>QVC Group Inc. Common Stock</t>
  </si>
  <si>
    <t>Catalog/Specialty Distribution</t>
  </si>
  <si>
    <t>QVCG US Equity</t>
  </si>
  <si>
    <t>NB_2240</t>
  </si>
  <si>
    <t>QXO</t>
  </si>
  <si>
    <t>QXO Inc. Common Stock</t>
  </si>
  <si>
    <t>RETAIL: Building Materials</t>
  </si>
  <si>
    <t>QXO US Equity</t>
  </si>
  <si>
    <t>NB_2241</t>
  </si>
  <si>
    <t>R</t>
  </si>
  <si>
    <t>Ryder System Inc. Common Stock</t>
  </si>
  <si>
    <t>Rental/Leasing Companies</t>
  </si>
  <si>
    <t>R US Equity</t>
  </si>
  <si>
    <t>NB_2242</t>
  </si>
  <si>
    <t>RAIL</t>
  </si>
  <si>
    <t>FreightCar America Inc. Common Stock</t>
  </si>
  <si>
    <t>Railroads</t>
  </si>
  <si>
    <t>RAIL US Equity</t>
  </si>
  <si>
    <t>NB_2243</t>
  </si>
  <si>
    <t>RAIN</t>
  </si>
  <si>
    <t>Rain Enhancement Technologies Holdco Inc. Class A Common Stock</t>
  </si>
  <si>
    <t>RAIN US Equity</t>
  </si>
  <si>
    <t>NB_2244</t>
  </si>
  <si>
    <t>RAL</t>
  </si>
  <si>
    <t>Ralliant Corporation Common Stock</t>
  </si>
  <si>
    <t>RAL US Equity</t>
  </si>
  <si>
    <t>NB_2245</t>
  </si>
  <si>
    <t>RAMP</t>
  </si>
  <si>
    <t>LiveRamp Holdings Inc. Common Stock</t>
  </si>
  <si>
    <t>EDP Services</t>
  </si>
  <si>
    <t>RAMP US Equity</t>
  </si>
  <si>
    <t>NB_2246</t>
  </si>
  <si>
    <t>RANI</t>
  </si>
  <si>
    <t>Rani Therapeutics Holdings Inc. Class A Common Stock</t>
  </si>
  <si>
    <t>RANI US Equity</t>
  </si>
  <si>
    <t>NB_2247</t>
  </si>
  <si>
    <t>RAPP</t>
  </si>
  <si>
    <t>Rapport Therapeutics Inc. Common Stock</t>
  </si>
  <si>
    <t>RAPP US Equity</t>
  </si>
  <si>
    <t>NB_2248</t>
  </si>
  <si>
    <t>RARE</t>
  </si>
  <si>
    <t>Ultragenyx Pharmaceutical Inc. Common Stock</t>
  </si>
  <si>
    <t>RARE US Equity</t>
  </si>
  <si>
    <t>NB_2249</t>
  </si>
  <si>
    <t>RAVE</t>
  </si>
  <si>
    <t>Rave Restaurant Group Inc. Common Stock</t>
  </si>
  <si>
    <t>Food Distributors</t>
  </si>
  <si>
    <t>RAVE US Equity</t>
  </si>
  <si>
    <t>NB_2250</t>
  </si>
  <si>
    <t>RBBN</t>
  </si>
  <si>
    <t>Ribbon Communications Inc. Common Stock</t>
  </si>
  <si>
    <t>RBBN US Equity</t>
  </si>
  <si>
    <t>NB_2251</t>
  </si>
  <si>
    <t>RBC</t>
  </si>
  <si>
    <t>RBC Bearings Incorporated Common Stock</t>
  </si>
  <si>
    <t>Metal Fabrications</t>
  </si>
  <si>
    <t>RBC US Equity</t>
  </si>
  <si>
    <t>NB_2252</t>
  </si>
  <si>
    <t>RBLX</t>
  </si>
  <si>
    <t>Roblox Corporation Class A Common Stock</t>
  </si>
  <si>
    <t>RBLX US Equity</t>
  </si>
  <si>
    <t>NB_2253</t>
  </si>
  <si>
    <t>RBRK</t>
  </si>
  <si>
    <t>Rubrik Inc. Class A Common Stock</t>
  </si>
  <si>
    <t>RBRK US Equity</t>
  </si>
  <si>
    <t>NB_2254</t>
  </si>
  <si>
    <t>RCAT</t>
  </si>
  <si>
    <t>Red Cat Holdings Inc. Common Stock</t>
  </si>
  <si>
    <t>RCAT US Equity</t>
  </si>
  <si>
    <t>NB_2255</t>
  </si>
  <si>
    <t>RCEL</t>
  </si>
  <si>
    <t>Avita Medical Inc. Common Stock</t>
  </si>
  <si>
    <t>Medical/Dental Instruments</t>
  </si>
  <si>
    <t>RCEL US Equity</t>
  </si>
  <si>
    <t>NB_2256</t>
  </si>
  <si>
    <t>RCKT</t>
  </si>
  <si>
    <t>Rocket Pharmaceuticals Inc. Common Stock</t>
  </si>
  <si>
    <t>RCKT US Equity</t>
  </si>
  <si>
    <t>NB_2257</t>
  </si>
  <si>
    <t>RCKY</t>
  </si>
  <si>
    <t>Rocky Brands Inc. Common Stock</t>
  </si>
  <si>
    <t>Shoe Manufacturing</t>
  </si>
  <si>
    <t>RCKY US Equity</t>
  </si>
  <si>
    <t>NB_2258</t>
  </si>
  <si>
    <t>RCL</t>
  </si>
  <si>
    <t>Royal Caribbean Cruises Ltd. Common Stock</t>
  </si>
  <si>
    <t>Marine Transportation</t>
  </si>
  <si>
    <t>RCL US Equity</t>
  </si>
  <si>
    <t>NB_2259</t>
  </si>
  <si>
    <t>RCMT</t>
  </si>
  <si>
    <t>RCM Technologies Inc. Common Stock</t>
  </si>
  <si>
    <t>Professional Services</t>
  </si>
  <si>
    <t>RCMT US Equity</t>
  </si>
  <si>
    <t>NB_2260</t>
  </si>
  <si>
    <t>RCUS</t>
  </si>
  <si>
    <t>Arcus Biosciences Inc. Common Stock</t>
  </si>
  <si>
    <t>RCUS US Equity</t>
  </si>
  <si>
    <t>NB_2261</t>
  </si>
  <si>
    <t>RDDT</t>
  </si>
  <si>
    <t>Reddit Inc. Class A Common Stock</t>
  </si>
  <si>
    <t>RDDT US Equity</t>
  </si>
  <si>
    <t>NB_2262</t>
  </si>
  <si>
    <t>RDI</t>
  </si>
  <si>
    <t>Reading International Inc Class A Common Stock</t>
  </si>
  <si>
    <t>Movies/Entertainment</t>
  </si>
  <si>
    <t>RDI US Equity</t>
  </si>
  <si>
    <t>NB_2263</t>
  </si>
  <si>
    <t>RDIB</t>
  </si>
  <si>
    <t>Reading International Inc Class B Common Stock</t>
  </si>
  <si>
    <t>RDIB US Equity</t>
  </si>
  <si>
    <t>NB_2264</t>
  </si>
  <si>
    <t>RDNT</t>
  </si>
  <si>
    <t>RadNet Inc. Common Stock</t>
  </si>
  <si>
    <t>Medical Specialities</t>
  </si>
  <si>
    <t>RDNT US Equity</t>
  </si>
  <si>
    <t>NB_2265</t>
  </si>
  <si>
    <t>RDNW</t>
  </si>
  <si>
    <t>RideNow Group Inc. Class B Common Stock</t>
  </si>
  <si>
    <t>RDNW US Equity</t>
  </si>
  <si>
    <t>NB_2266</t>
  </si>
  <si>
    <t>RDVT</t>
  </si>
  <si>
    <t>Red Violet Inc. Common Stock</t>
  </si>
  <si>
    <t>RDVT US Equity</t>
  </si>
  <si>
    <t>NB_2267</t>
  </si>
  <si>
    <t>RDW</t>
  </si>
  <si>
    <t>Redwire Corporation Common Stock</t>
  </si>
  <si>
    <t>Military/Government/Technical</t>
  </si>
  <si>
    <t>RDW US Equity</t>
  </si>
  <si>
    <t>NB_2268</t>
  </si>
  <si>
    <t>REAL</t>
  </si>
  <si>
    <t>The RealReal Inc. Common Stock</t>
  </si>
  <si>
    <t>Other Specialty Stores</t>
  </si>
  <si>
    <t>REAL US Equity</t>
  </si>
  <si>
    <t>NB_2269</t>
  </si>
  <si>
    <t>REBN</t>
  </si>
  <si>
    <t>Reborn Coffee Inc. Common Stock</t>
  </si>
  <si>
    <t>Restaurants</t>
  </si>
  <si>
    <t>REBN US Equity</t>
  </si>
  <si>
    <t>NB_2270</t>
  </si>
  <si>
    <t>REGN</t>
  </si>
  <si>
    <t>Regeneron Pharmaceuticals Inc. Common Stock</t>
  </si>
  <si>
    <t>REGN US Equity</t>
  </si>
  <si>
    <t>NB_2271</t>
  </si>
  <si>
    <t>REI</t>
  </si>
  <si>
    <t>Ring Energy Inc. Common Stock</t>
  </si>
  <si>
    <t>Energy</t>
  </si>
  <si>
    <t>Oil &amp; Gas Production</t>
  </si>
  <si>
    <t>REI US Equity</t>
  </si>
  <si>
    <t>NB_2272</t>
  </si>
  <si>
    <t>REKR</t>
  </si>
  <si>
    <t>Rekor Systems Inc. Common Stock</t>
  </si>
  <si>
    <t>Telecommunications</t>
  </si>
  <si>
    <t>Telecommunications Equipment</t>
  </si>
  <si>
    <t>REKR US Equity</t>
  </si>
  <si>
    <t>NB_2273</t>
  </si>
  <si>
    <t>RELL</t>
  </si>
  <si>
    <t>Richardson Electronics Ltd. Common Stock</t>
  </si>
  <si>
    <t>Electronic Components</t>
  </si>
  <si>
    <t>RELL US Equity</t>
  </si>
  <si>
    <t>NB_2274</t>
  </si>
  <si>
    <t>RELY</t>
  </si>
  <si>
    <t>Remitly Global Inc. Common Stock</t>
  </si>
  <si>
    <t>Business Services</t>
  </si>
  <si>
    <t>RELY US Equity</t>
  </si>
  <si>
    <t>NB_2275</t>
  </si>
  <si>
    <t>RENT</t>
  </si>
  <si>
    <t>Rent the Runway Inc. Class A Common Stock</t>
  </si>
  <si>
    <t>RENT US Equity</t>
  </si>
  <si>
    <t>NB_2276</t>
  </si>
  <si>
    <t>RENX</t>
  </si>
  <si>
    <t>RenX Enterprises Corp. Common Stock</t>
  </si>
  <si>
    <t>Utilities</t>
  </si>
  <si>
    <t>Environmental Services</t>
  </si>
  <si>
    <t>RENX US Equity</t>
  </si>
  <si>
    <t>NB_2277</t>
  </si>
  <si>
    <t>REPL</t>
  </si>
  <si>
    <t>Replimune Group Inc. Common Stock</t>
  </si>
  <si>
    <t>Biotechnology: Biological Products (No Diagnostic Substances)</t>
  </si>
  <si>
    <t>REPL US Equity</t>
  </si>
  <si>
    <t>NB_2278</t>
  </si>
  <si>
    <t>REPX</t>
  </si>
  <si>
    <t>Riley Exploration Permian Inc. Common Stock</t>
  </si>
  <si>
    <t>REPX US Equity</t>
  </si>
  <si>
    <t>NB_2279</t>
  </si>
  <si>
    <t>RES</t>
  </si>
  <si>
    <t>RPC Inc. Common Stock</t>
  </si>
  <si>
    <t>Oilfield Services/Equipment</t>
  </si>
  <si>
    <t>RES US Equity</t>
  </si>
  <si>
    <t>NB_2280</t>
  </si>
  <si>
    <t>REVB</t>
  </si>
  <si>
    <t>Revelation Biosciences Inc. Common Stock</t>
  </si>
  <si>
    <t>REVB US Equity</t>
  </si>
  <si>
    <t>NB_2281</t>
  </si>
  <si>
    <t>REVBW</t>
  </si>
  <si>
    <t>Revelation Biosciences Inc. Warrant</t>
  </si>
  <si>
    <t>REVBW US Equity</t>
  </si>
  <si>
    <t>NB_2282</t>
  </si>
  <si>
    <t>REX</t>
  </si>
  <si>
    <t>REX American Resources Corporation</t>
  </si>
  <si>
    <t>Major Chemicals</t>
  </si>
  <si>
    <t>REX US Equity</t>
  </si>
  <si>
    <t>NB_2283</t>
  </si>
  <si>
    <t>REYN</t>
  </si>
  <si>
    <t>Reynolds Consumer Products Inc. Common Stock</t>
  </si>
  <si>
    <t>Containers/Packaging</t>
  </si>
  <si>
    <t>REYN US Equity</t>
  </si>
  <si>
    <t>NB_2284</t>
  </si>
  <si>
    <t>REZI</t>
  </si>
  <si>
    <t>Resideo Technologies Inc. Common Stock</t>
  </si>
  <si>
    <t>Wholesale Distributors</t>
  </si>
  <si>
    <t>REZI US Equity</t>
  </si>
  <si>
    <t>NB_2285</t>
  </si>
  <si>
    <t>RFIL</t>
  </si>
  <si>
    <t>RF Industries Ltd. Common Stock</t>
  </si>
  <si>
    <t>Electrical Products</t>
  </si>
  <si>
    <t>RFIL US Equity</t>
  </si>
  <si>
    <t>NB_2286</t>
  </si>
  <si>
    <t>RFL</t>
  </si>
  <si>
    <t>Rafael Holdings Inc. Class B Common Stock</t>
  </si>
  <si>
    <t>RFL US Equity</t>
  </si>
  <si>
    <t>NB_2287</t>
  </si>
  <si>
    <t>RGCO</t>
  </si>
  <si>
    <t>RGC Resources Inc. Common Stock</t>
  </si>
  <si>
    <t>RGCO US Equity</t>
  </si>
  <si>
    <t>NB_2288</t>
  </si>
  <si>
    <t>RGEN</t>
  </si>
  <si>
    <t>Repligen Corporation Common Stock</t>
  </si>
  <si>
    <t>RGEN US Equity</t>
  </si>
  <si>
    <t>NB_2289</t>
  </si>
  <si>
    <t>RGLD</t>
  </si>
  <si>
    <t>Royal Gold Inc. Common Stock</t>
  </si>
  <si>
    <t>Precious Metals</t>
  </si>
  <si>
    <t>RGLD US Equity</t>
  </si>
  <si>
    <t>NB_2290</t>
  </si>
  <si>
    <t>RGNX</t>
  </si>
  <si>
    <t>REGENXBIO Inc. Common Stock</t>
  </si>
  <si>
    <t>RGNX US Equity</t>
  </si>
  <si>
    <t>NB_2291</t>
  </si>
  <si>
    <t>RGP</t>
  </si>
  <si>
    <t>Resources Connection Inc. Common Stock</t>
  </si>
  <si>
    <t>RGP US Equity</t>
  </si>
  <si>
    <t>NB_2292</t>
  </si>
  <si>
    <t>RGR</t>
  </si>
  <si>
    <t>Sturm Ruger &amp; Company Inc. Common Stock</t>
  </si>
  <si>
    <t>Ordnance And Accessories</t>
  </si>
  <si>
    <t>RGR US Equity</t>
  </si>
  <si>
    <t>NB_2293</t>
  </si>
  <si>
    <t>RGS</t>
  </si>
  <si>
    <t>Regis Corporation Common Stock</t>
  </si>
  <si>
    <t>Other Consumer Services</t>
  </si>
  <si>
    <t>RGS US Equity</t>
  </si>
  <si>
    <t>NB_2294</t>
  </si>
  <si>
    <t>RGTI</t>
  </si>
  <si>
    <t>Rigetti Computing Inc. Common Stock</t>
  </si>
  <si>
    <t>RGTI US Equity</t>
  </si>
  <si>
    <t>NB_2295</t>
  </si>
  <si>
    <t>RGTIW</t>
  </si>
  <si>
    <t>Rigetti Computing Inc. Warrants</t>
  </si>
  <si>
    <t>RGTIW US Equity</t>
  </si>
  <si>
    <t>NB_2296</t>
  </si>
  <si>
    <t>RH</t>
  </si>
  <si>
    <t>RH Common Stock</t>
  </si>
  <si>
    <t>RH US Equity</t>
  </si>
  <si>
    <t>NB_2297</t>
  </si>
  <si>
    <t>RHI</t>
  </si>
  <si>
    <t>Robert Half Inc. Common Stock</t>
  </si>
  <si>
    <t>RHI US Equity</t>
  </si>
  <si>
    <t>NB_2298</t>
  </si>
  <si>
    <t>RICK</t>
  </si>
  <si>
    <t>RCI Hospitality Holdings Inc. Common Stock</t>
  </si>
  <si>
    <t>RICK US Equity</t>
  </si>
  <si>
    <t>NB_2299</t>
  </si>
  <si>
    <t>RIGL</t>
  </si>
  <si>
    <t>Rigel Pharmaceuticals Inc. Common Stock</t>
  </si>
  <si>
    <t>RIGL US Equity</t>
  </si>
  <si>
    <t>NB_2300</t>
  </si>
  <si>
    <t>RIME</t>
  </si>
  <si>
    <t>Algorhythm Holdings Inc. Common Stock</t>
  </si>
  <si>
    <t>RIME US Equity</t>
  </si>
  <si>
    <t>NB_2301</t>
  </si>
  <si>
    <t>RIVN</t>
  </si>
  <si>
    <t>Rivian Automotive Inc. Class A Common Stock</t>
  </si>
  <si>
    <t>Auto Manufacturing</t>
  </si>
  <si>
    <t>RIVN US Equity</t>
  </si>
  <si>
    <t>NB_2302</t>
  </si>
  <si>
    <t>RJET</t>
  </si>
  <si>
    <t>Republic Airways Holdings Inc. Common Stock</t>
  </si>
  <si>
    <t>Air Freight/Delivery Services</t>
  </si>
  <si>
    <t>RJET US Equity</t>
  </si>
  <si>
    <t>NB_2303</t>
  </si>
  <si>
    <t>RKDA</t>
  </si>
  <si>
    <t>Arcadia Biosciences Inc. Common Stock</t>
  </si>
  <si>
    <t>RKDA US Equity</t>
  </si>
  <si>
    <t>NB_2304</t>
  </si>
  <si>
    <t>RKLB</t>
  </si>
  <si>
    <t>Rocket Lab Corporation Common Stock</t>
  </si>
  <si>
    <t>RKLB US Equity</t>
  </si>
  <si>
    <t>NB_2305</t>
  </si>
  <si>
    <t>RKTO</t>
  </si>
  <si>
    <t>Rocket One Inc. Common Stock</t>
  </si>
  <si>
    <t>RKTO US Equity</t>
  </si>
  <si>
    <t>NB_2306</t>
  </si>
  <si>
    <t>RL</t>
  </si>
  <si>
    <t>Ralph Lauren Corporation Common Stock</t>
  </si>
  <si>
    <t>Garments and Clothing</t>
  </si>
  <si>
    <t>RL US Equity</t>
  </si>
  <si>
    <t>NB_2307</t>
  </si>
  <si>
    <t>RLAY</t>
  </si>
  <si>
    <t>Relay Therapeutics Inc. Common Stock</t>
  </si>
  <si>
    <t>RLAY US Equity</t>
  </si>
  <si>
    <t>NB_2308</t>
  </si>
  <si>
    <t>RLGT</t>
  </si>
  <si>
    <t>Radiant Logistics Inc. Common Stock</t>
  </si>
  <si>
    <t>Integrated Freight &amp; Logistics</t>
  </si>
  <si>
    <t>RLGT US Equity</t>
  </si>
  <si>
    <t>NB_2309</t>
  </si>
  <si>
    <t>RLMD</t>
  </si>
  <si>
    <t>Relmada Therapeutics Inc. Common Stock</t>
  </si>
  <si>
    <t>RLMD US Equity</t>
  </si>
  <si>
    <t>NB_2310</t>
  </si>
  <si>
    <t>RLYB</t>
  </si>
  <si>
    <t>Rallybio Corporation Common Stock</t>
  </si>
  <si>
    <t>RLYB US Equity</t>
  </si>
  <si>
    <t>NB_2311</t>
  </si>
  <si>
    <t>RMBS</t>
  </si>
  <si>
    <t>Rambus Inc. Common Stock</t>
  </si>
  <si>
    <t>RMBS US Equity</t>
  </si>
  <si>
    <t>NB_2312</t>
  </si>
  <si>
    <t>RMCF</t>
  </si>
  <si>
    <t>Rocky Mountain Chocolate Factory Inc. Common Stock</t>
  </si>
  <si>
    <t>Consumer Staples</t>
  </si>
  <si>
    <t>Specialty Foods</t>
  </si>
  <si>
    <t>RMCF US Equity</t>
  </si>
  <si>
    <t>NB_2313</t>
  </si>
  <si>
    <t>RMD</t>
  </si>
  <si>
    <t>ResMed Inc. Common Stock</t>
  </si>
  <si>
    <t>RMD US Equity</t>
  </si>
  <si>
    <t>NB_2314</t>
  </si>
  <si>
    <t>RMIX</t>
  </si>
  <si>
    <t>Suncrete Inc. Class A Common Stock</t>
  </si>
  <si>
    <t>Building Materials</t>
  </si>
  <si>
    <t>RMIX US Equity</t>
  </si>
  <si>
    <t>NB_2315</t>
  </si>
  <si>
    <t>RMNI</t>
  </si>
  <si>
    <t>Rimini Street Inc. (DE) Common Stock</t>
  </si>
  <si>
    <t>RMNI US Equity</t>
  </si>
  <si>
    <t>NB_2316</t>
  </si>
  <si>
    <t>RMR</t>
  </si>
  <si>
    <t>The RMR Group Inc. Class A Common Stock</t>
  </si>
  <si>
    <t>RMR US Equity</t>
  </si>
  <si>
    <t>NB_2317</t>
  </si>
  <si>
    <t>RMSG</t>
  </si>
  <si>
    <t>Real Messenger Corporation Ordinary Shares</t>
  </si>
  <si>
    <t>Computer Software: Programming Data Processing</t>
  </si>
  <si>
    <t>RMSG US Equity</t>
  </si>
  <si>
    <t>NB_2318</t>
  </si>
  <si>
    <t>RMSGW</t>
  </si>
  <si>
    <t>Real Messenger Corporation Warrants</t>
  </si>
  <si>
    <t>RMSGW US Equity</t>
  </si>
  <si>
    <t>NB_2319</t>
  </si>
  <si>
    <t>RMTI</t>
  </si>
  <si>
    <t>Rockwell Medical Inc. Common Stock</t>
  </si>
  <si>
    <t>RMTI US Equity</t>
  </si>
  <si>
    <t>NB_2320</t>
  </si>
  <si>
    <t>RNA</t>
  </si>
  <si>
    <t>Atrium Therapeutics Inc. Common Stock</t>
  </si>
  <si>
    <t>RNA US Equity</t>
  </si>
  <si>
    <t>NB_2321</t>
  </si>
  <si>
    <t>RNAC</t>
  </si>
  <si>
    <t>Cartesian Therapeutics Inc. Common Stock</t>
  </si>
  <si>
    <t>RNAC US Equity</t>
  </si>
  <si>
    <t>NB_2322</t>
  </si>
  <si>
    <t>RNAZ</t>
  </si>
  <si>
    <t>TransCode Therapeutics Inc. Common Stock</t>
  </si>
  <si>
    <t>RNAZ US Equity</t>
  </si>
  <si>
    <t>NB_2323</t>
  </si>
  <si>
    <t>RNG</t>
  </si>
  <si>
    <t>RingCentral Inc. Class A Common Stock</t>
  </si>
  <si>
    <t>RNG US Equity</t>
  </si>
  <si>
    <t>NB_2324</t>
  </si>
  <si>
    <t>RNGR</t>
  </si>
  <si>
    <t>Ranger Energy Services Inc. Class A Common Stock</t>
  </si>
  <si>
    <t>RNGR US Equity</t>
  </si>
  <si>
    <t>NB_2325</t>
  </si>
  <si>
    <t>RNTX</t>
  </si>
  <si>
    <t>Rein Therapeutics Inc. Common Stock</t>
  </si>
  <si>
    <t>RNTX US Equity</t>
  </si>
  <si>
    <t>NB_2326</t>
  </si>
  <si>
    <t>RNXT</t>
  </si>
  <si>
    <t>RenovoRx Inc. Common Stock</t>
  </si>
  <si>
    <t>RNXT US Equity</t>
  </si>
  <si>
    <t>NB_2327</t>
  </si>
  <si>
    <t>ROAD</t>
  </si>
  <si>
    <t>Construction Partners Inc. Class A Common Stock</t>
  </si>
  <si>
    <t>ROAD US Equity</t>
  </si>
  <si>
    <t>NB_2328</t>
  </si>
  <si>
    <t>ROC</t>
  </si>
  <si>
    <t>Rank One Computing Corporation Common stock</t>
  </si>
  <si>
    <t>ROC US Equity</t>
  </si>
  <si>
    <t>NB_2329</t>
  </si>
  <si>
    <t>ROCK</t>
  </si>
  <si>
    <t>Gibraltar Industries Inc. Common Stock</t>
  </si>
  <si>
    <t>Steel/Iron Ore</t>
  </si>
  <si>
    <t>ROCK US Equity</t>
  </si>
  <si>
    <t>NB_2330</t>
  </si>
  <si>
    <t>ROG</t>
  </si>
  <si>
    <t>Rogers Corporation Common Stock</t>
  </si>
  <si>
    <t>ROG US Equity</t>
  </si>
  <si>
    <t>NB_2331</t>
  </si>
  <si>
    <t>ROK</t>
  </si>
  <si>
    <t>Rockwell Automation Inc. Common Stock</t>
  </si>
  <si>
    <t>ROK US Equity</t>
  </si>
  <si>
    <t>NB_2332</t>
  </si>
  <si>
    <t>ROKU</t>
  </si>
  <si>
    <t>Roku Inc. Class A Common Stock</t>
  </si>
  <si>
    <t>Cable &amp; Other Pay Television Services</t>
  </si>
  <si>
    <t>ROKU US Equity</t>
  </si>
  <si>
    <t>NB_2333</t>
  </si>
  <si>
    <t>ROL</t>
  </si>
  <si>
    <t>Rollins Inc. Common Stock</t>
  </si>
  <si>
    <t>Diversified Commercial Services</t>
  </si>
  <si>
    <t>ROL US Equity</t>
  </si>
  <si>
    <t>NB_2334</t>
  </si>
  <si>
    <t>ROP</t>
  </si>
  <si>
    <t>Roper Technologies Inc. Common Stock</t>
  </si>
  <si>
    <t>ROP US Equity</t>
  </si>
  <si>
    <t>NB_2335</t>
  </si>
  <si>
    <t>ROST</t>
  </si>
  <si>
    <t>Ross Stores Inc. Common Stock</t>
  </si>
  <si>
    <t>Clothing/Shoe/Accessory Stores</t>
  </si>
  <si>
    <t>ROST US Equity</t>
  </si>
  <si>
    <t>NB_2336</t>
  </si>
  <si>
    <t>RPAY</t>
  </si>
  <si>
    <t>Repay Holdings Corporation Class A Common Stock</t>
  </si>
  <si>
    <t>RPAY US Equity</t>
  </si>
  <si>
    <t>NB_2337</t>
  </si>
  <si>
    <t>RPD</t>
  </si>
  <si>
    <t>Rapid7 Inc. Common Stock</t>
  </si>
  <si>
    <t>RPD US Equity</t>
  </si>
  <si>
    <t>NB_2338</t>
  </si>
  <si>
    <t>RPID</t>
  </si>
  <si>
    <t>Rapid Micro Biosystems Inc. Class A Common Stock</t>
  </si>
  <si>
    <t>RPID US Equity</t>
  </si>
  <si>
    <t>NB_2339</t>
  </si>
  <si>
    <t>RPM</t>
  </si>
  <si>
    <t>RPM International Inc. Common Stock</t>
  </si>
  <si>
    <t>Paints/Coatings</t>
  </si>
  <si>
    <t>RPM US Equity</t>
  </si>
  <si>
    <t>NB_2340</t>
  </si>
  <si>
    <t>RPRX</t>
  </si>
  <si>
    <t>Royalty Pharma plc Class A Ordinary Shares</t>
  </si>
  <si>
    <t>RPRX US Equity</t>
  </si>
  <si>
    <t>NB_2341</t>
  </si>
  <si>
    <t>RR</t>
  </si>
  <si>
    <t>Richtech Robotics Inc. Class B Common Stock</t>
  </si>
  <si>
    <t>RR US Equity</t>
  </si>
  <si>
    <t>NB_2342</t>
  </si>
  <si>
    <t>RRC</t>
  </si>
  <si>
    <t>Range Resources Corporation Common Stock</t>
  </si>
  <si>
    <t>RRC US Equity</t>
  </si>
  <si>
    <t>NB_2343</t>
  </si>
  <si>
    <t>RRGB</t>
  </si>
  <si>
    <t>Red Robin Gourmet Burgers Inc. Common Stock</t>
  </si>
  <si>
    <t>RRGB US Equity</t>
  </si>
  <si>
    <t>NB_2344</t>
  </si>
  <si>
    <t>RRR</t>
  </si>
  <si>
    <t>Red Rock Resorts Inc. Class A Common Stock</t>
  </si>
  <si>
    <t>Hotels/Resorts</t>
  </si>
  <si>
    <t>RRR US Equity</t>
  </si>
  <si>
    <t>NB_2345</t>
  </si>
  <si>
    <t>RRX</t>
  </si>
  <si>
    <t>Regal Rexnord Corporation Common Stock</t>
  </si>
  <si>
    <t>RRX US Equity</t>
  </si>
  <si>
    <t>NB_2346</t>
  </si>
  <si>
    <t>RS</t>
  </si>
  <si>
    <t>Reliance Inc. Common Stock</t>
  </si>
  <si>
    <t>RS US Equity</t>
  </si>
  <si>
    <t>NB_2347</t>
  </si>
  <si>
    <t>RSG</t>
  </si>
  <si>
    <t>Republic Services Inc. Common Stock</t>
  </si>
  <si>
    <t>RSG US Equity</t>
  </si>
  <si>
    <t>NB_2348</t>
  </si>
  <si>
    <t>RSI</t>
  </si>
  <si>
    <t>Rush Street Interactive Inc. Class A Common Stock</t>
  </si>
  <si>
    <t>Services-Misc. Amusement &amp; Recreation</t>
  </si>
  <si>
    <t>RSI US Equity</t>
  </si>
  <si>
    <t>NB_2349</t>
  </si>
  <si>
    <t>RSSS</t>
  </si>
  <si>
    <t>Research Solutions Inc Common Stock</t>
  </si>
  <si>
    <t>RSSS US Equity</t>
  </si>
  <si>
    <t>NB_2350</t>
  </si>
  <si>
    <t>RSVR</t>
  </si>
  <si>
    <t>Reservoir Media Inc. Common Stock</t>
  </si>
  <si>
    <t>RSVR US Equity</t>
  </si>
  <si>
    <t>NB_2351</t>
  </si>
  <si>
    <t>RTB</t>
  </si>
  <si>
    <t>RTB Digital Inc. Common Stock</t>
  </si>
  <si>
    <t>RTB US Equity</t>
  </si>
  <si>
    <t>NB_2352</t>
  </si>
  <si>
    <t>RTO</t>
  </si>
  <si>
    <t>Rentokil Initial plc American Depositary Shares (each representing five (5) Ordinary Shares)</t>
  </si>
  <si>
    <t>RTO US Equity</t>
  </si>
  <si>
    <t>NB_2353</t>
  </si>
  <si>
    <t>RTX</t>
  </si>
  <si>
    <t>RTX Corporation Common Stock</t>
  </si>
  <si>
    <t>Aerospace</t>
  </si>
  <si>
    <t>RTX US Equity</t>
  </si>
  <si>
    <t>NB_2354</t>
  </si>
  <si>
    <t>RUM</t>
  </si>
  <si>
    <t>RUM Group Inc. Class A Common Stock</t>
  </si>
  <si>
    <t>RUM US Equity</t>
  </si>
  <si>
    <t>NB_2355</t>
  </si>
  <si>
    <t>RUMBW</t>
  </si>
  <si>
    <t>RUM Group Inc. Warrant</t>
  </si>
  <si>
    <t>RUMBW US Equity</t>
  </si>
  <si>
    <t>NB_2356</t>
  </si>
  <si>
    <t>RUSHA</t>
  </si>
  <si>
    <t>Rush Enterprises Inc. Common Stock Cl A</t>
  </si>
  <si>
    <t>Retail-Auto Dealers and Gas Stations</t>
  </si>
  <si>
    <t>RUSHA US Equity</t>
  </si>
  <si>
    <t>NB_2357</t>
  </si>
  <si>
    <t>RUSHB</t>
  </si>
  <si>
    <t>Rush Enterprises Inc. Class B</t>
  </si>
  <si>
    <t>RUSHB US Equity</t>
  </si>
  <si>
    <t>NB_2358</t>
  </si>
  <si>
    <t>RVLV</t>
  </si>
  <si>
    <t>Revolve Group Inc. Class A Common Stock</t>
  </si>
  <si>
    <t>RVLV US Equity</t>
  </si>
  <si>
    <t>NB_2359</t>
  </si>
  <si>
    <t>RVMD</t>
  </si>
  <si>
    <t>Revolution Medicines Inc. Common Stock</t>
  </si>
  <si>
    <t>RVMD US Equity</t>
  </si>
  <si>
    <t>NB_2360</t>
  </si>
  <si>
    <t>RVMDW</t>
  </si>
  <si>
    <t>Revolution Medicines Inc. Warrant</t>
  </si>
  <si>
    <t>RVMDW US Equity</t>
  </si>
  <si>
    <t>NB_2361</t>
  </si>
  <si>
    <t>RVP</t>
  </si>
  <si>
    <t>Retractable Technologies Inc. Common Stock</t>
  </si>
  <si>
    <t>RVP US Equity</t>
  </si>
  <si>
    <t>NB_2362</t>
  </si>
  <si>
    <t>RVTY</t>
  </si>
  <si>
    <t>Revvity Inc. Common Stock</t>
  </si>
  <si>
    <t>RVTY US Equity</t>
  </si>
  <si>
    <t>NB_2363</t>
  </si>
  <si>
    <t>RXO</t>
  </si>
  <si>
    <t>RXO Inc. Common Stock</t>
  </si>
  <si>
    <t>Transportation Services</t>
  </si>
  <si>
    <t>RXO US Equity</t>
  </si>
  <si>
    <t>NB_2364</t>
  </si>
  <si>
    <t>RXRX</t>
  </si>
  <si>
    <t>Recursion Pharmaceuticals Inc. Class A Common Stock</t>
  </si>
  <si>
    <t>RXRX US Equity</t>
  </si>
  <si>
    <t>NB_2365</t>
  </si>
  <si>
    <t>RXST</t>
  </si>
  <si>
    <t>RxSight Inc. Common Stock</t>
  </si>
  <si>
    <t>Ophthalmic Goods</t>
  </si>
  <si>
    <t>RXST US Equity</t>
  </si>
  <si>
    <t>NB_2366</t>
  </si>
  <si>
    <t>RXT</t>
  </si>
  <si>
    <t>Rackspace Technology Inc. Common Stock</t>
  </si>
  <si>
    <t>RXT US Equity</t>
  </si>
  <si>
    <t>NB_2367</t>
  </si>
  <si>
    <t>RYAM</t>
  </si>
  <si>
    <t>Rayonier Advanced Materials Inc. Common Stock</t>
  </si>
  <si>
    <t>Basic Materials</t>
  </si>
  <si>
    <t>Paper</t>
  </si>
  <si>
    <t>RYAM US Equity</t>
  </si>
  <si>
    <t>NB_2368</t>
  </si>
  <si>
    <t>RYM</t>
  </si>
  <si>
    <t>RYTHM Inc. Common Stock</t>
  </si>
  <si>
    <t>Farming/Seeds/Milling</t>
  </si>
  <si>
    <t>RYM US Equity</t>
  </si>
  <si>
    <t>NB_2369</t>
  </si>
  <si>
    <t>RYTM</t>
  </si>
  <si>
    <t>Rhythm Pharmaceuticals Inc. Common Stock</t>
  </si>
  <si>
    <t>RYTM US Equity</t>
  </si>
  <si>
    <t>NB_2370</t>
  </si>
  <si>
    <t>RYZ</t>
  </si>
  <si>
    <t>Ryerson Holding Corporation Common Stock</t>
  </si>
  <si>
    <t>RYZ US Equity</t>
  </si>
  <si>
    <t>NB_2371</t>
  </si>
  <si>
    <t>RZLT</t>
  </si>
  <si>
    <t>Rezolute Inc. Common Stock (NV)</t>
  </si>
  <si>
    <t>RZLT US Equity</t>
  </si>
  <si>
    <t>NB_2372</t>
  </si>
  <si>
    <t>S</t>
  </si>
  <si>
    <t>SentinelOne Inc. Class A Common Stock</t>
  </si>
  <si>
    <t>S US Equity</t>
  </si>
  <si>
    <t>NB_2373</t>
  </si>
  <si>
    <t>SABR</t>
  </si>
  <si>
    <t>Sabre Corporation Common Stock</t>
  </si>
  <si>
    <t>SABR US Equity</t>
  </si>
  <si>
    <t>NB_2374</t>
  </si>
  <si>
    <t>SABS</t>
  </si>
  <si>
    <t>SAB Biotherapeutics Inc. Common Stock</t>
  </si>
  <si>
    <t>SABS US Equity</t>
  </si>
  <si>
    <t>NB_2375</t>
  </si>
  <si>
    <t>SABSW</t>
  </si>
  <si>
    <t>SAB Biotherapeutics Inc. Warrant</t>
  </si>
  <si>
    <t>SABSW US Equity</t>
  </si>
  <si>
    <t>NB_2376</t>
  </si>
  <si>
    <t>SAFX</t>
  </si>
  <si>
    <t>XCF Global Inc. Class A Common Stock</t>
  </si>
  <si>
    <t>SAFX US Equity</t>
  </si>
  <si>
    <t>NB_2377</t>
  </si>
  <si>
    <t>SAH</t>
  </si>
  <si>
    <t>Sonic Automotive Inc. Common Stock</t>
  </si>
  <si>
    <t>SAH US Equity</t>
  </si>
  <si>
    <t>NB_2378</t>
  </si>
  <si>
    <t>SAIA</t>
  </si>
  <si>
    <t>Saia Inc. Common Stock</t>
  </si>
  <si>
    <t>Trucking Freight/Courier Services</t>
  </si>
  <si>
    <t>SAIA US Equity</t>
  </si>
  <si>
    <t>NB_2379</t>
  </si>
  <si>
    <t>SAIC</t>
  </si>
  <si>
    <t>Science Applications International Corporation Common Stock</t>
  </si>
  <si>
    <t>SAIC US Equity</t>
  </si>
  <si>
    <t>NB_2380</t>
  </si>
  <si>
    <t>SAIL</t>
  </si>
  <si>
    <t>SailPoint Inc. Common Stock</t>
  </si>
  <si>
    <t>SAIL US Equity</t>
  </si>
  <si>
    <t>NB_2381</t>
  </si>
  <si>
    <t>SAM</t>
  </si>
  <si>
    <t>Boston Beer Company Inc. (The) Common Stock</t>
  </si>
  <si>
    <t>Beverages (Production/Distribution)</t>
  </si>
  <si>
    <t>SAM US Equity</t>
  </si>
  <si>
    <t>NB_2382</t>
  </si>
  <si>
    <t>SANA</t>
  </si>
  <si>
    <t>Sana Biotechnology Inc. Common Stock</t>
  </si>
  <si>
    <t>SANA US Equity</t>
  </si>
  <si>
    <t>NB_2383</t>
  </si>
  <si>
    <t>SANM</t>
  </si>
  <si>
    <t>Sanmina Corporation Common Stock</t>
  </si>
  <si>
    <t>SANM US Equity</t>
  </si>
  <si>
    <t>NB_2384</t>
  </si>
  <si>
    <t>SARO</t>
  </si>
  <si>
    <t>StandardAero Inc. Common Stock</t>
  </si>
  <si>
    <t>SARO US Equity</t>
  </si>
  <si>
    <t>NB_2385</t>
  </si>
  <si>
    <t>SBC</t>
  </si>
  <si>
    <t>SBC Medical Group Holdings Incorporated Common Stock</t>
  </si>
  <si>
    <t>Medical/Nursing Services</t>
  </si>
  <si>
    <t>SBC US Equity</t>
  </si>
  <si>
    <t>NB_2386</t>
  </si>
  <si>
    <t>SBET</t>
  </si>
  <si>
    <t>Sharplink Inc. Common Stock</t>
  </si>
  <si>
    <t>SBET US Equity</t>
  </si>
  <si>
    <t>NB_2387</t>
  </si>
  <si>
    <t>SBGI</t>
  </si>
  <si>
    <t>Sinclair Inc. Class A Common Stock</t>
  </si>
  <si>
    <t>Broadcasting</t>
  </si>
  <si>
    <t>SBGI US Equity</t>
  </si>
  <si>
    <t>NB_2388</t>
  </si>
  <si>
    <t>SBH</t>
  </si>
  <si>
    <t>Sally Beauty Holdings Inc. (Name to be changed from Sally Holdings Inc.) Common Stock</t>
  </si>
  <si>
    <t>SBH US Equity</t>
  </si>
  <si>
    <t>NB_2389</t>
  </si>
  <si>
    <t>SBR</t>
  </si>
  <si>
    <t>Sabine Royalty Trust Common Stock</t>
  </si>
  <si>
    <t>SBR US Equity</t>
  </si>
  <si>
    <t>NB_2390</t>
  </si>
  <si>
    <t>SBUX</t>
  </si>
  <si>
    <t>Starbucks Corporation Common Stock</t>
  </si>
  <si>
    <t>SBUX US Equity</t>
  </si>
  <si>
    <t>NB_2391</t>
  </si>
  <si>
    <t>SCCO</t>
  </si>
  <si>
    <t>Southern Copper Corporation Common Stock</t>
  </si>
  <si>
    <t>Metal Mining</t>
  </si>
  <si>
    <t>SCCO US Equity</t>
  </si>
  <si>
    <t>NB_2392</t>
  </si>
  <si>
    <t>SCHL</t>
  </si>
  <si>
    <t>Scholastic Corporation Common Stock</t>
  </si>
  <si>
    <t>Books</t>
  </si>
  <si>
    <t>SCHL US Equity</t>
  </si>
  <si>
    <t>NB_2393</t>
  </si>
  <si>
    <t>SCI</t>
  </si>
  <si>
    <t>Service Corporation International Common Stock</t>
  </si>
  <si>
    <t>SCI US Equity</t>
  </si>
  <si>
    <t>NB_2394</t>
  </si>
  <si>
    <t>SCKT</t>
  </si>
  <si>
    <t>Socket Mobile Inc. Common Stock</t>
  </si>
  <si>
    <t>Computer Manufacturing</t>
  </si>
  <si>
    <t>SCKT US Equity</t>
  </si>
  <si>
    <t>NB_2395</t>
  </si>
  <si>
    <t>SCL</t>
  </si>
  <si>
    <t>Stepan Company Common Stock</t>
  </si>
  <si>
    <t>Package Goods/Cosmetics</t>
  </si>
  <si>
    <t>SCL US Equity</t>
  </si>
  <si>
    <t>NB_2396</t>
  </si>
  <si>
    <t>SCLX</t>
  </si>
  <si>
    <t>Scilex Holding Company Common Stock</t>
  </si>
  <si>
    <t>SCLX US Equity</t>
  </si>
  <si>
    <t>NB_2397</t>
  </si>
  <si>
    <t>SCLXW</t>
  </si>
  <si>
    <t>Scilex Holding Company Warrant</t>
  </si>
  <si>
    <t>SCLXW US Equity</t>
  </si>
  <si>
    <t>NB_2398</t>
  </si>
  <si>
    <t>SCNX</t>
  </si>
  <si>
    <t>Scienture Holdings Inc. Common Stock</t>
  </si>
  <si>
    <t>SCNX US Equity</t>
  </si>
  <si>
    <t>NB_2399</t>
  </si>
  <si>
    <t>SCOR</t>
  </si>
  <si>
    <t>comScore Inc. Common Stock</t>
  </si>
  <si>
    <t>SCOR US Equity</t>
  </si>
  <si>
    <t>NB_2400</t>
  </si>
  <si>
    <t>SCSC</t>
  </si>
  <si>
    <t>ScanSource Inc. Common Stock</t>
  </si>
  <si>
    <t>Retail: Computer Software &amp; Peripheral Equipment</t>
  </si>
  <si>
    <t>SCSC US Equity</t>
  </si>
  <si>
    <t>NB_2401</t>
  </si>
  <si>
    <t>SCTX</t>
  </si>
  <si>
    <t>Scribe Therapeutics Inc. Common Stock</t>
  </si>
  <si>
    <t>SCTX US Equity</t>
  </si>
  <si>
    <t>NB_2402</t>
  </si>
  <si>
    <t>SCWO</t>
  </si>
  <si>
    <t>374Water Inc. Common Stock</t>
  </si>
  <si>
    <t>SCWO US Equity</t>
  </si>
  <si>
    <t>NB_2403</t>
  </si>
  <si>
    <t>SCYX</t>
  </si>
  <si>
    <t>SCYNEXIS Inc. Common Stock</t>
  </si>
  <si>
    <t>SCYX US Equity</t>
  </si>
  <si>
    <t>NB_2404</t>
  </si>
  <si>
    <t>SD</t>
  </si>
  <si>
    <t>SandRidge Energy Inc. Common Stock</t>
  </si>
  <si>
    <t>SD US Equity</t>
  </si>
  <si>
    <t>NB_2405</t>
  </si>
  <si>
    <t>SDEV</t>
  </si>
  <si>
    <t>Stablecoin Development Corporation Common Stock</t>
  </si>
  <si>
    <t>SDEV US Equity</t>
  </si>
  <si>
    <t>NB_2406</t>
  </si>
  <si>
    <t>SDGR</t>
  </si>
  <si>
    <t>Schrodinger Inc. Common Stock</t>
  </si>
  <si>
    <t>SDGR US Equity</t>
  </si>
  <si>
    <t>NB_2407</t>
  </si>
  <si>
    <t>SDHC</t>
  </si>
  <si>
    <t>Smith Douglas Homes Corp. Class A Common Stock</t>
  </si>
  <si>
    <t>Homebuilding</t>
  </si>
  <si>
    <t>SDHC US Equity</t>
  </si>
  <si>
    <t>NB_2408</t>
  </si>
  <si>
    <t>SDOT</t>
  </si>
  <si>
    <t>Sadot Group Inc. Common Stock</t>
  </si>
  <si>
    <t>SDOT US Equity</t>
  </si>
  <si>
    <t>NB_2409</t>
  </si>
  <si>
    <t>SDST</t>
  </si>
  <si>
    <t>Stardust Power Inc. Common Stock</t>
  </si>
  <si>
    <t>SDST US Equity</t>
  </si>
  <si>
    <t>NB_2410</t>
  </si>
  <si>
    <t>SE</t>
  </si>
  <si>
    <t>Sea Limited American Depositary Shares each representing one Class A Ordinary Share</t>
  </si>
  <si>
    <t>SE US Equity</t>
  </si>
  <si>
    <t>NB_2411</t>
  </si>
  <si>
    <t>SEAT</t>
  </si>
  <si>
    <t>Vivid Seats Inc. Class A Common Stock</t>
  </si>
  <si>
    <t>SEAT US Equity</t>
  </si>
  <si>
    <t>NB_2412</t>
  </si>
  <si>
    <t>SEATW</t>
  </si>
  <si>
    <t>Vivid Seats Inc. Warrant</t>
  </si>
  <si>
    <t>SEATW US Equity</t>
  </si>
  <si>
    <t>NB_2413</t>
  </si>
  <si>
    <t>SEB</t>
  </si>
  <si>
    <t>Seaboard Corporation Common Stock</t>
  </si>
  <si>
    <t>SEB US Equity</t>
  </si>
  <si>
    <t>NB_2414</t>
  </si>
  <si>
    <t>SEER</t>
  </si>
  <si>
    <t>Seer Inc. Class A Common Stock</t>
  </si>
  <si>
    <t>SEER US Equity</t>
  </si>
  <si>
    <t>NB_2415</t>
  </si>
  <si>
    <t>SEG</t>
  </si>
  <si>
    <t>Seaport Entertainment Group Inc. Common Stock</t>
  </si>
  <si>
    <t>SEG US Equity</t>
  </si>
  <si>
    <t>NB_2416</t>
  </si>
  <si>
    <t>SEGG</t>
  </si>
  <si>
    <t>Sports Entertainment Gaming Global Corporation Common Stock</t>
  </si>
  <si>
    <t>SEGG US Equity</t>
  </si>
  <si>
    <t>NB_2417</t>
  </si>
  <si>
    <t>SEI</t>
  </si>
  <si>
    <t>Solaris Energy Infrastructure Inc. Class A Common Stock</t>
  </si>
  <si>
    <t>Oil and Gas Field Machinery</t>
  </si>
  <si>
    <t>SEI US Equity</t>
  </si>
  <si>
    <t>NB_2418</t>
  </si>
  <si>
    <t>SENEA</t>
  </si>
  <si>
    <t>Seneca Foods Corp. Class A Common Stock</t>
  </si>
  <si>
    <t>Packaged Foods</t>
  </si>
  <si>
    <t>SENEA US Equity</t>
  </si>
  <si>
    <t>NB_2419</t>
  </si>
  <si>
    <t>SENEB</t>
  </si>
  <si>
    <t>Seneca Foods Corp. Class B Common Stock</t>
  </si>
  <si>
    <t>SENEB US Equity</t>
  </si>
  <si>
    <t>NB_2420</t>
  </si>
  <si>
    <t>SENS</t>
  </si>
  <si>
    <t>Senseonics Holdings Inc. Common Stock</t>
  </si>
  <si>
    <t>SENS US Equity</t>
  </si>
  <si>
    <t>NB_2421</t>
  </si>
  <si>
    <t>SEPN</t>
  </si>
  <si>
    <t>Septerna Inc. Common Stock</t>
  </si>
  <si>
    <t>SEPN US Equity</t>
  </si>
  <si>
    <t>NB_2422</t>
  </si>
  <si>
    <t>SER</t>
  </si>
  <si>
    <t>Serina Therapeutics Inc. Common Stock</t>
  </si>
  <si>
    <t>SER US Equity</t>
  </si>
  <si>
    <t>NB_2423</t>
  </si>
  <si>
    <t>SERA</t>
  </si>
  <si>
    <t>Sera Prognostics Inc. Class A Common Stock</t>
  </si>
  <si>
    <t>SERA US Equity</t>
  </si>
  <si>
    <t>NB_2424</t>
  </si>
  <si>
    <t>SERV</t>
  </si>
  <si>
    <t>Serve Robotics Inc. Common Stock</t>
  </si>
  <si>
    <t>SERV US Equity</t>
  </si>
  <si>
    <t>NB_2425</t>
  </si>
  <si>
    <t>SEV</t>
  </si>
  <si>
    <t>Aptera Motors Corp. Class B Common Stock</t>
  </si>
  <si>
    <t>SEV US Equity</t>
  </si>
  <si>
    <t>NB_2426</t>
  </si>
  <si>
    <t>SFD</t>
  </si>
  <si>
    <t>Smithfield Foods Inc. Common Stock</t>
  </si>
  <si>
    <t>Meat/Poultry/Fish</t>
  </si>
  <si>
    <t>SFD US Equity</t>
  </si>
  <si>
    <t>NB_2427</t>
  </si>
  <si>
    <t>SFIX</t>
  </si>
  <si>
    <t>Stitch Fix Inc. Class A Common Stock</t>
  </si>
  <si>
    <t>SFIX US Equity</t>
  </si>
  <si>
    <t>NB_2428</t>
  </si>
  <si>
    <t>SFM</t>
  </si>
  <si>
    <t>Sprouts Farmers Market Inc. Common Stock</t>
  </si>
  <si>
    <t>Food Chains</t>
  </si>
  <si>
    <t>SFM US Equity</t>
  </si>
  <si>
    <t>NB_2429</t>
  </si>
  <si>
    <t>SG</t>
  </si>
  <si>
    <t>Sweetgreen Inc. Class A Common Stock</t>
  </si>
  <si>
    <t>SG US Equity</t>
  </si>
  <si>
    <t>NB_2430</t>
  </si>
  <si>
    <t>SGA</t>
  </si>
  <si>
    <t>Saga Communications Inc. Class A Common Stock (FL)</t>
  </si>
  <si>
    <t>SGA US Equity</t>
  </si>
  <si>
    <t>NB_2431</t>
  </si>
  <si>
    <t>SGC</t>
  </si>
  <si>
    <t>Superior Group of Companies Inc. Common Stock</t>
  </si>
  <si>
    <t>Apparel</t>
  </si>
  <si>
    <t>SGC US Equity</t>
  </si>
  <si>
    <t>NB_2432</t>
  </si>
  <si>
    <t>SGHT</t>
  </si>
  <si>
    <t>Sight Sciences Inc. Common Stock</t>
  </si>
  <si>
    <t>SGHT US Equity</t>
  </si>
  <si>
    <t>NB_2433</t>
  </si>
  <si>
    <t>SGI</t>
  </si>
  <si>
    <t>Somnigroup International Inc. Common Stock</t>
  </si>
  <si>
    <t>Home Furnishings</t>
  </si>
  <si>
    <t>SGI US Equity</t>
  </si>
  <si>
    <t>NB_2434</t>
  </si>
  <si>
    <t>SGLY</t>
  </si>
  <si>
    <t>Singularity Future Technology Ltd. Common Stock</t>
  </si>
  <si>
    <t>SGLY US Equity</t>
  </si>
  <si>
    <t>NB_2435</t>
  </si>
  <si>
    <t>SGMT</t>
  </si>
  <si>
    <t>Sagimet Biosciences Inc. Series A Common Stock</t>
  </si>
  <si>
    <t>SGMT US Equity</t>
  </si>
  <si>
    <t>NB_2436</t>
  </si>
  <si>
    <t>SGP</t>
  </si>
  <si>
    <t>SpyGlass Pharma Inc. Common Stock</t>
  </si>
  <si>
    <t>SGP US Equity</t>
  </si>
  <si>
    <t>NB_2437</t>
  </si>
  <si>
    <t>SGRY</t>
  </si>
  <si>
    <t>Surgery Partners Inc. Common Stock</t>
  </si>
  <si>
    <t>Hospital/Nursing Management</t>
  </si>
  <si>
    <t>SGRY US Equity</t>
  </si>
  <si>
    <t>NB_2438</t>
  </si>
  <si>
    <t>SGU</t>
  </si>
  <si>
    <t>Star Group L.P. Common Stock</t>
  </si>
  <si>
    <t>SGU US Equity</t>
  </si>
  <si>
    <t>NB_2439</t>
  </si>
  <si>
    <t>SHAK</t>
  </si>
  <si>
    <t>Shake Shack Inc. Class A Common Stock</t>
  </si>
  <si>
    <t>SHAK US Equity</t>
  </si>
  <si>
    <t>NB_2440</t>
  </si>
  <si>
    <t>SHAZ</t>
  </si>
  <si>
    <t>SharonAI Holdings Inc. Class A Common Stock</t>
  </si>
  <si>
    <t>SHAZ US Equity</t>
  </si>
  <si>
    <t>NB_2441</t>
  </si>
  <si>
    <t>SHC</t>
  </si>
  <si>
    <t>Sotera Health Company Common Stock</t>
  </si>
  <si>
    <t>Misc Health and Biotechnology Services</t>
  </si>
  <si>
    <t>SHC US Equity</t>
  </si>
  <si>
    <t>NB_2442</t>
  </si>
  <si>
    <t>SHEN</t>
  </si>
  <si>
    <t>Shenandoah Telecommunications Co Common Stock</t>
  </si>
  <si>
    <t>SHEN US Equity</t>
  </si>
  <si>
    <t>NB_2443</t>
  </si>
  <si>
    <t>SHIM</t>
  </si>
  <si>
    <t>Shimmick Corporation Common Stock</t>
  </si>
  <si>
    <t>SHIM US Equity</t>
  </si>
  <si>
    <t>NB_2444</t>
  </si>
  <si>
    <t>SHLS</t>
  </si>
  <si>
    <t>Shoals Technologies Group Inc. Class A Common Stock</t>
  </si>
  <si>
    <t>SHLS US Equity</t>
  </si>
  <si>
    <t>NB_2445</t>
  </si>
  <si>
    <t>SHO</t>
  </si>
  <si>
    <t>Sunstone Hotel Investors Inc. Sunstone Hotel Investors Inc. Common Shares</t>
  </si>
  <si>
    <t>SHO US Equity</t>
  </si>
  <si>
    <t>NB_2446</t>
  </si>
  <si>
    <t>SHOE</t>
  </si>
  <si>
    <t>Shoe Station Group Inc. Common Stock</t>
  </si>
  <si>
    <t>SHOE US Equity</t>
  </si>
  <si>
    <t>NB_2447</t>
  </si>
  <si>
    <t>SHOO</t>
  </si>
  <si>
    <t>Steven Madden Ltd. Common Stock</t>
  </si>
  <si>
    <t>SHOO US Equity</t>
  </si>
  <si>
    <t>NB_2448</t>
  </si>
  <si>
    <t>SHPH</t>
  </si>
  <si>
    <t>Shuttle Pharmaceuticals Holdings Inc. Common Stock</t>
  </si>
  <si>
    <t>SHPH US Equity</t>
  </si>
  <si>
    <t>NB_2449</t>
  </si>
  <si>
    <t>SHW</t>
  </si>
  <si>
    <t>Sherwin-Williams Company (The) Common Stock</t>
  </si>
  <si>
    <t>SHW US Equity</t>
  </si>
  <si>
    <t>NB_2450</t>
  </si>
  <si>
    <t>SI</t>
  </si>
  <si>
    <t>Shoulder Innovations Inc. Common Stock</t>
  </si>
  <si>
    <t>SI US Equity</t>
  </si>
  <si>
    <t>NB_2451</t>
  </si>
  <si>
    <t>SIBN</t>
  </si>
  <si>
    <t>SI-BONE Inc. Common Stock</t>
  </si>
  <si>
    <t>SIBN US Equity</t>
  </si>
  <si>
    <t>NB_2452</t>
  </si>
  <si>
    <t>SIDU</t>
  </si>
  <si>
    <t>Sidus Space Inc. Class A Common Stock</t>
  </si>
  <si>
    <t>SIDU US Equity</t>
  </si>
  <si>
    <t>NB_2453</t>
  </si>
  <si>
    <t>SIF</t>
  </si>
  <si>
    <t>SIFCO Industries Inc. Common Stock</t>
  </si>
  <si>
    <t>SIF US Equity</t>
  </si>
  <si>
    <t>NB_2454</t>
  </si>
  <si>
    <t>SIGA</t>
  </si>
  <si>
    <t>SIGA Technologies Inc. Common Stock</t>
  </si>
  <si>
    <t>SIGA US Equity</t>
  </si>
  <si>
    <t>NB_2455</t>
  </si>
  <si>
    <t>SILO</t>
  </si>
  <si>
    <t>Silo Pharma Inc. Common Stock</t>
  </si>
  <si>
    <t>SILO US Equity</t>
  </si>
  <si>
    <t>NB_2456</t>
  </si>
  <si>
    <t>SINT</t>
  </si>
  <si>
    <t>SiNtx Technologies Inc. Common Stock</t>
  </si>
  <si>
    <t>SINT US Equity</t>
  </si>
  <si>
    <t>NB_2457</t>
  </si>
  <si>
    <t>SION</t>
  </si>
  <si>
    <t>Sionna Therapeutics Inc. Common Stock</t>
  </si>
  <si>
    <t>SION US Equity</t>
  </si>
  <si>
    <t>NB_2458</t>
  </si>
  <si>
    <t>SIRI</t>
  </si>
  <si>
    <t>SiriusXM Holdings Inc. Common Stock</t>
  </si>
  <si>
    <t>SIRI US Equity</t>
  </si>
  <si>
    <t>NB_2459</t>
  </si>
  <si>
    <t>SITE</t>
  </si>
  <si>
    <t>SiteOne Landscape Supply Inc. Common Stock</t>
  </si>
  <si>
    <t>Professional and commerical equipment</t>
  </si>
  <si>
    <t>SITE US Equity</t>
  </si>
  <si>
    <t>NB_2460</t>
  </si>
  <si>
    <t>SITM</t>
  </si>
  <si>
    <t>SiTime Corporation Common Stock</t>
  </si>
  <si>
    <t>SITM US Equity</t>
  </si>
  <si>
    <t>NB_2461</t>
  </si>
  <si>
    <t>SJM</t>
  </si>
  <si>
    <t>The J.M. Smucker Company Common Stock</t>
  </si>
  <si>
    <t>SJM US Equity</t>
  </si>
  <si>
    <t>NB_2462</t>
  </si>
  <si>
    <t>SJT</t>
  </si>
  <si>
    <t>San Juan Basin Royalty Trust Common Stock</t>
  </si>
  <si>
    <t>SJT US Equity</t>
  </si>
  <si>
    <t>NB_2463</t>
  </si>
  <si>
    <t>SKIL</t>
  </si>
  <si>
    <t>Skillsoft Corp. Class A Common Stock</t>
  </si>
  <si>
    <t>SKIL US Equity</t>
  </si>
  <si>
    <t>NB_2464</t>
  </si>
  <si>
    <t>SKIN</t>
  </si>
  <si>
    <t>SkinHealth Systems Inc. Class A Common Stock</t>
  </si>
  <si>
    <t>SKIN US Equity</t>
  </si>
  <si>
    <t>NB_2465</t>
  </si>
  <si>
    <t>SKY</t>
  </si>
  <si>
    <t>Champion Homes Inc. Common Stock</t>
  </si>
  <si>
    <t>SKY US Equity</t>
  </si>
  <si>
    <t>NB_2466</t>
  </si>
  <si>
    <t>SKYA</t>
  </si>
  <si>
    <t>SkyAI Inc. Common Stock</t>
  </si>
  <si>
    <t>SKYA US Equity</t>
  </si>
  <si>
    <t>NB_2467</t>
  </si>
  <si>
    <t>SKYAW</t>
  </si>
  <si>
    <t>SkyAI Inc. Warrant</t>
  </si>
  <si>
    <t>SKYAW US Equity</t>
  </si>
  <si>
    <t>NB_2468</t>
  </si>
  <si>
    <t>SKYE</t>
  </si>
  <si>
    <t>Skye Bioscience Inc. Common Stock</t>
  </si>
  <si>
    <t>SKYE US Equity</t>
  </si>
  <si>
    <t>NB_2469</t>
  </si>
  <si>
    <t>SKYQ</t>
  </si>
  <si>
    <t>Sky Quarry Inc. Common Stock</t>
  </si>
  <si>
    <t>SKYQ US Equity</t>
  </si>
  <si>
    <t>NB_2470</t>
  </si>
  <si>
    <t>SKYW</t>
  </si>
  <si>
    <t>SkyWest Inc. Common Stock</t>
  </si>
  <si>
    <t>SKYW US Equity</t>
  </si>
  <si>
    <t>NB_2471</t>
  </si>
  <si>
    <t>SKYX</t>
  </si>
  <si>
    <t>SKYX Platforms Corp. Common Stock</t>
  </si>
  <si>
    <t>Building Products</t>
  </si>
  <si>
    <t>SKYX US Equity</t>
  </si>
  <si>
    <t>NB_2472</t>
  </si>
  <si>
    <t>SLAB</t>
  </si>
  <si>
    <t>Silicon Laboratories Inc. Common Stock</t>
  </si>
  <si>
    <t>SLAB US Equity</t>
  </si>
  <si>
    <t>NB_2473</t>
  </si>
  <si>
    <t>SLDB</t>
  </si>
  <si>
    <t>Solid Biosciences Inc. Common Stock</t>
  </si>
  <si>
    <t>SLDB US Equity</t>
  </si>
  <si>
    <t>NB_2474</t>
  </si>
  <si>
    <t>SLE</t>
  </si>
  <si>
    <t>Super League Enterprise Inc. Common Stock</t>
  </si>
  <si>
    <t>SLE US Equity</t>
  </si>
  <si>
    <t>NB_2475</t>
  </si>
  <si>
    <t>SLGN</t>
  </si>
  <si>
    <t>Silgan Holdings Inc. Common Stock</t>
  </si>
  <si>
    <t>SLGN US Equity</t>
  </si>
  <si>
    <t>NB_2476</t>
  </si>
  <si>
    <t>SLND</t>
  </si>
  <si>
    <t>Southland Holdings Inc. Common Stock</t>
  </si>
  <si>
    <t>SLND US Equity</t>
  </si>
  <si>
    <t>NB_2477</t>
  </si>
  <si>
    <t>SLNG</t>
  </si>
  <si>
    <t>Stabilis Solutions Inc. Common Stock</t>
  </si>
  <si>
    <t>Oil/Gas Transmission</t>
  </si>
  <si>
    <t>SLNG US Equity</t>
  </si>
  <si>
    <t>NB_2478</t>
  </si>
  <si>
    <t>SLNH</t>
  </si>
  <si>
    <t>Soluna Holdings Inc. Common Stock</t>
  </si>
  <si>
    <t>SLNH US Equity</t>
  </si>
  <si>
    <t>NB_2479</t>
  </si>
  <si>
    <t>SLNHP</t>
  </si>
  <si>
    <t>Soluna Holdings Inc 9.0% Series A Cumulative Perpetual Preferred Stock</t>
  </si>
  <si>
    <t>SLNHP US Equity</t>
  </si>
  <si>
    <t>NB_2480</t>
  </si>
  <si>
    <t>SLP</t>
  </si>
  <si>
    <t>Simulations Plus Inc. Common Stock</t>
  </si>
  <si>
    <t>SLP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</si>
  <si>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</si>
  <si>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</si>
  <si>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</si>
  <si>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</si>
  <si>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</si>
  <si>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</si>
  <si>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</si>
  <si>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</si>
  <si>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</si>
  <si>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</si>
  <si>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</si>
  <si>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</si>
  <si>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</si>
  <si>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</si>
  <si>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</si>
  <si>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</si>
  <si>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</si>
  <si>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</si>
  <si>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</si>
  <si>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</si>
  <si>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</si>
  <si>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</si>
  <si>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</si>
  <si>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</si>
  <si>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</si>
  <si>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</si>
  <si>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</si>
  <si>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</si>
  <si>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</si>
  <si>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</si>
  <si>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</si>
  <si>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</si>
  <si>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</si>
  <si>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</si>
  <si>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</si>
  <si>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</si>
  <si>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</si>
  <si>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</si>
  <si>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</si>
  <si>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</si>
  <si>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</si>
  <si>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</si>
  <si>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</si>
  <si>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</si>
  <si>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</si>
  <si>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</si>
  <si>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</si>
  <si>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</si>
  <si>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volume_Date</t>
  </si>
  <si>
    <t>volume_Value</t>
  </si>
  <si>
    <t>turnover_Date</t>
  </si>
  <si>
    <t>turnover_Value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</si>
</sst>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theme" Target="theme/theme1.xml"/><Relationship Id="rId253" Type="http://schemas.openxmlformats.org/officeDocument/2006/relationships/styles" Target="styles.xml"/><Relationship Id="rId2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1"/>
  <sheetViews>
    <sheetView tabSelected="1" workbookViewId="0"/>
  </sheetViews>
  <sheetFormatPr defaultRowHeight="15"/>
  <cols>
    <col min="1" max="11" width="18.7109375" customWidth="1"/>
    <col min="12" max="13" width="32.71093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15</v>
      </c>
      <c r="J2" t="s">
        <v>21</v>
      </c>
      <c r="K2" t="s">
        <v>22</v>
      </c>
      <c r="L2">
        <f>BDP($H2,"BICS_LEVEL_1_SECTOR_NAME")</f>
        <v/>
      </c>
      <c r="M2">
        <f>BDP($H2,"BICS_LEVEL_3_INDUSTRY_NAME")</f>
        <v/>
      </c>
    </row>
    <row r="3" spans="1:13">
      <c r="A3" t="s">
        <v>23</v>
      </c>
      <c r="B3" t="s">
        <v>14</v>
      </c>
      <c r="C3" t="s">
        <v>15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15</v>
      </c>
      <c r="J3" t="s">
        <v>21</v>
      </c>
      <c r="K3" t="s">
        <v>22</v>
      </c>
      <c r="L3">
        <f>BDP($H3,"BICS_LEVEL_1_SECTOR_NAME")</f>
        <v/>
      </c>
      <c r="M3">
        <f>BDP($H3,"BICS_LEVEL_3_INDUSTRY_NAME")</f>
        <v/>
      </c>
    </row>
    <row r="4" spans="1:13">
      <c r="A4" t="s">
        <v>29</v>
      </c>
      <c r="B4" t="s">
        <v>14</v>
      </c>
      <c r="C4" t="s">
        <v>15</v>
      </c>
      <c r="D4" t="s">
        <v>30</v>
      </c>
      <c r="E4" t="s">
        <v>31</v>
      </c>
      <c r="F4" t="s">
        <v>18</v>
      </c>
      <c r="G4" t="s">
        <v>32</v>
      </c>
      <c r="H4" t="s">
        <v>33</v>
      </c>
      <c r="I4" t="s">
        <v>15</v>
      </c>
      <c r="J4" t="s">
        <v>21</v>
      </c>
      <c r="K4" t="s">
        <v>22</v>
      </c>
      <c r="L4">
        <f>BDP($H4,"BICS_LEVEL_1_SECTOR_NAME")</f>
        <v/>
      </c>
      <c r="M4">
        <f>BDP($H4,"BICS_LEVEL_3_INDUSTRY_NAME")</f>
        <v/>
      </c>
    </row>
    <row r="5" spans="1:13">
      <c r="A5" t="s">
        <v>34</v>
      </c>
      <c r="B5" t="s">
        <v>14</v>
      </c>
      <c r="C5" t="s">
        <v>15</v>
      </c>
      <c r="D5" t="s">
        <v>35</v>
      </c>
      <c r="E5" t="s">
        <v>36</v>
      </c>
      <c r="F5" t="s">
        <v>26</v>
      </c>
      <c r="G5" t="s">
        <v>37</v>
      </c>
      <c r="H5" t="s">
        <v>38</v>
      </c>
      <c r="I5" t="s">
        <v>15</v>
      </c>
      <c r="J5" t="s">
        <v>21</v>
      </c>
      <c r="K5" t="s">
        <v>22</v>
      </c>
      <c r="L5">
        <f>BDP($H5,"BICS_LEVEL_1_SECTOR_NAME")</f>
        <v/>
      </c>
      <c r="M5">
        <f>BDP($H5,"BICS_LEVEL_3_INDUSTRY_NAME")</f>
        <v/>
      </c>
    </row>
    <row r="6" spans="1:13">
      <c r="A6" t="s">
        <v>39</v>
      </c>
      <c r="B6" t="s">
        <v>14</v>
      </c>
      <c r="C6" t="s">
        <v>15</v>
      </c>
      <c r="D6" t="s">
        <v>40</v>
      </c>
      <c r="E6" t="s">
        <v>41</v>
      </c>
      <c r="F6" t="s">
        <v>42</v>
      </c>
      <c r="G6" t="s">
        <v>43</v>
      </c>
      <c r="H6" t="s">
        <v>44</v>
      </c>
      <c r="I6" t="s">
        <v>15</v>
      </c>
      <c r="J6" t="s">
        <v>21</v>
      </c>
      <c r="K6" t="s">
        <v>22</v>
      </c>
      <c r="L6">
        <f>BDP($H6,"BICS_LEVEL_1_SECTOR_NAME")</f>
        <v/>
      </c>
      <c r="M6">
        <f>BDP($H6,"BICS_LEVEL_3_INDUSTRY_NAME")</f>
        <v/>
      </c>
    </row>
    <row r="7" spans="1:13">
      <c r="A7" t="s">
        <v>45</v>
      </c>
      <c r="B7" t="s">
        <v>14</v>
      </c>
      <c r="C7" t="s">
        <v>15</v>
      </c>
      <c r="D7" t="s">
        <v>46</v>
      </c>
      <c r="E7" t="s">
        <v>47</v>
      </c>
      <c r="F7" t="s">
        <v>48</v>
      </c>
      <c r="G7" t="s">
        <v>49</v>
      </c>
      <c r="H7" t="s">
        <v>50</v>
      </c>
      <c r="I7" t="s">
        <v>15</v>
      </c>
      <c r="J7" t="s">
        <v>21</v>
      </c>
      <c r="K7" t="s">
        <v>22</v>
      </c>
      <c r="L7">
        <f>BDP($H7,"BICS_LEVEL_1_SECTOR_NAME")</f>
        <v/>
      </c>
      <c r="M7">
        <f>BDP($H7,"BICS_LEVEL_3_INDUSTRY_NAME")</f>
        <v/>
      </c>
    </row>
    <row r="8" spans="1:13">
      <c r="A8" t="s">
        <v>51</v>
      </c>
      <c r="B8" t="s">
        <v>14</v>
      </c>
      <c r="C8" t="s">
        <v>15</v>
      </c>
      <c r="D8" t="s">
        <v>52</v>
      </c>
      <c r="E8" t="s">
        <v>53</v>
      </c>
      <c r="F8" t="s">
        <v>42</v>
      </c>
      <c r="G8" t="s">
        <v>43</v>
      </c>
      <c r="H8" t="s">
        <v>54</v>
      </c>
      <c r="I8" t="s">
        <v>15</v>
      </c>
      <c r="J8" t="s">
        <v>21</v>
      </c>
      <c r="K8" t="s">
        <v>22</v>
      </c>
      <c r="L8">
        <f>BDP($H8,"BICS_LEVEL_1_SECTOR_NAME")</f>
        <v/>
      </c>
      <c r="M8">
        <f>BDP($H8,"BICS_LEVEL_3_INDUSTRY_NAME")</f>
        <v/>
      </c>
    </row>
    <row r="9" spans="1:13">
      <c r="A9" t="s">
        <v>55</v>
      </c>
      <c r="B9" t="s">
        <v>14</v>
      </c>
      <c r="C9" t="s">
        <v>15</v>
      </c>
      <c r="D9" t="s">
        <v>56</v>
      </c>
      <c r="E9" t="s">
        <v>57</v>
      </c>
      <c r="F9" t="s">
        <v>42</v>
      </c>
      <c r="G9" t="s">
        <v>58</v>
      </c>
      <c r="H9" t="s">
        <v>59</v>
      </c>
      <c r="I9" t="s">
        <v>15</v>
      </c>
      <c r="J9" t="s">
        <v>21</v>
      </c>
      <c r="K9" t="s">
        <v>22</v>
      </c>
      <c r="L9">
        <f>BDP($H9,"BICS_LEVEL_1_SECTOR_NAME")</f>
        <v/>
      </c>
      <c r="M9">
        <f>BDP($H9,"BICS_LEVEL_3_INDUSTRY_NAME")</f>
        <v/>
      </c>
    </row>
    <row r="10" spans="1:13">
      <c r="A10" t="s">
        <v>60</v>
      </c>
      <c r="B10" t="s">
        <v>14</v>
      </c>
      <c r="C10" t="s">
        <v>15</v>
      </c>
      <c r="D10" t="s">
        <v>61</v>
      </c>
      <c r="E10" t="s">
        <v>62</v>
      </c>
      <c r="F10" t="s">
        <v>48</v>
      </c>
      <c r="G10" t="s">
        <v>63</v>
      </c>
      <c r="H10" t="s">
        <v>64</v>
      </c>
      <c r="I10" t="s">
        <v>15</v>
      </c>
      <c r="J10" t="s">
        <v>21</v>
      </c>
      <c r="K10" t="s">
        <v>22</v>
      </c>
      <c r="L10">
        <f>BDP($H10,"BICS_LEVEL_1_SECTOR_NAME")</f>
        <v/>
      </c>
      <c r="M10">
        <f>BDP($H10,"BICS_LEVEL_3_INDUSTRY_NAME")</f>
        <v/>
      </c>
    </row>
    <row r="11" spans="1:13">
      <c r="A11" t="s">
        <v>65</v>
      </c>
      <c r="B11" t="s">
        <v>14</v>
      </c>
      <c r="C11" t="s">
        <v>15</v>
      </c>
      <c r="D11" t="s">
        <v>66</v>
      </c>
      <c r="E11" t="s">
        <v>67</v>
      </c>
      <c r="F11" t="s">
        <v>48</v>
      </c>
      <c r="G11" t="s">
        <v>68</v>
      </c>
      <c r="H11" t="s">
        <v>69</v>
      </c>
      <c r="I11" t="s">
        <v>15</v>
      </c>
      <c r="J11" t="s">
        <v>21</v>
      </c>
      <c r="K11" t="s">
        <v>22</v>
      </c>
      <c r="L11">
        <f>BDP($H11,"BICS_LEVEL_1_SECTOR_NAME")</f>
        <v/>
      </c>
      <c r="M11">
        <f>BDP($H11,"BICS_LEVEL_3_INDUSTRY_NAME")</f>
        <v/>
      </c>
    </row>
    <row r="12" spans="1:13">
      <c r="A12" t="s">
        <v>70</v>
      </c>
      <c r="B12" t="s">
        <v>14</v>
      </c>
      <c r="C12" t="s">
        <v>15</v>
      </c>
      <c r="D12" t="s">
        <v>71</v>
      </c>
      <c r="E12" t="s">
        <v>72</v>
      </c>
      <c r="F12" t="s">
        <v>48</v>
      </c>
      <c r="G12" t="s">
        <v>73</v>
      </c>
      <c r="H12" t="s">
        <v>74</v>
      </c>
      <c r="I12" t="s">
        <v>15</v>
      </c>
      <c r="J12" t="s">
        <v>21</v>
      </c>
      <c r="K12" t="s">
        <v>22</v>
      </c>
      <c r="L12">
        <f>BDP($H12,"BICS_LEVEL_1_SECTOR_NAME")</f>
        <v/>
      </c>
      <c r="M12">
        <f>BDP($H12,"BICS_LEVEL_3_INDUSTRY_NAME")</f>
        <v/>
      </c>
    </row>
    <row r="13" spans="1:13">
      <c r="A13" t="s">
        <v>75</v>
      </c>
      <c r="B13" t="s">
        <v>14</v>
      </c>
      <c r="C13" t="s">
        <v>15</v>
      </c>
      <c r="D13" t="s">
        <v>76</v>
      </c>
      <c r="E13" t="s">
        <v>77</v>
      </c>
      <c r="F13" t="s">
        <v>18</v>
      </c>
      <c r="G13" t="s">
        <v>78</v>
      </c>
      <c r="H13" t="s">
        <v>79</v>
      </c>
      <c r="I13" t="s">
        <v>15</v>
      </c>
      <c r="J13" t="s">
        <v>21</v>
      </c>
      <c r="K13" t="s">
        <v>22</v>
      </c>
      <c r="L13">
        <f>BDP($H13,"BICS_LEVEL_1_SECTOR_NAME")</f>
        <v/>
      </c>
      <c r="M13">
        <f>BDP($H13,"BICS_LEVEL_3_INDUSTRY_NAME")</f>
        <v/>
      </c>
    </row>
    <row r="14" spans="1:13">
      <c r="A14" t="s">
        <v>80</v>
      </c>
      <c r="B14" t="s">
        <v>14</v>
      </c>
      <c r="C14" t="s">
        <v>15</v>
      </c>
      <c r="D14" t="s">
        <v>81</v>
      </c>
      <c r="E14" t="s">
        <v>82</v>
      </c>
      <c r="F14" t="s">
        <v>42</v>
      </c>
      <c r="G14" t="s">
        <v>19</v>
      </c>
      <c r="H14" t="s">
        <v>83</v>
      </c>
      <c r="I14" t="s">
        <v>15</v>
      </c>
      <c r="J14" t="s">
        <v>21</v>
      </c>
      <c r="K14" t="s">
        <v>22</v>
      </c>
      <c r="L14">
        <f>BDP($H14,"BICS_LEVEL_1_SECTOR_NAME")</f>
        <v/>
      </c>
      <c r="M14">
        <f>BDP($H14,"BICS_LEVEL_3_INDUSTRY_NAME")</f>
        <v/>
      </c>
    </row>
    <row r="15" spans="1:13">
      <c r="A15" t="s">
        <v>84</v>
      </c>
      <c r="B15" t="s">
        <v>14</v>
      </c>
      <c r="C15" t="s">
        <v>15</v>
      </c>
      <c r="D15" t="s">
        <v>85</v>
      </c>
      <c r="E15" t="s">
        <v>86</v>
      </c>
      <c r="F15" t="s">
        <v>18</v>
      </c>
      <c r="G15" t="s">
        <v>19</v>
      </c>
      <c r="H15" t="s">
        <v>87</v>
      </c>
      <c r="I15" t="s">
        <v>15</v>
      </c>
      <c r="J15" t="s">
        <v>21</v>
      </c>
      <c r="K15" t="s">
        <v>22</v>
      </c>
      <c r="L15">
        <f>BDP($H15,"BICS_LEVEL_1_SECTOR_NAME")</f>
        <v/>
      </c>
      <c r="M15">
        <f>BDP($H15,"BICS_LEVEL_3_INDUSTRY_NAME")</f>
        <v/>
      </c>
    </row>
    <row r="16" spans="1:13">
      <c r="A16" t="s">
        <v>88</v>
      </c>
      <c r="B16" t="s">
        <v>14</v>
      </c>
      <c r="C16" t="s">
        <v>15</v>
      </c>
      <c r="D16" t="s">
        <v>89</v>
      </c>
      <c r="E16" t="s">
        <v>90</v>
      </c>
      <c r="F16" t="s">
        <v>42</v>
      </c>
      <c r="G16" t="s">
        <v>91</v>
      </c>
      <c r="H16" t="s">
        <v>92</v>
      </c>
      <c r="I16" t="s">
        <v>15</v>
      </c>
      <c r="J16" t="s">
        <v>21</v>
      </c>
      <c r="K16" t="s">
        <v>22</v>
      </c>
      <c r="L16">
        <f>BDP($H16,"BICS_LEVEL_1_SECTOR_NAME")</f>
        <v/>
      </c>
      <c r="M16">
        <f>BDP($H16,"BICS_LEVEL_3_INDUSTRY_NAME")</f>
        <v/>
      </c>
    </row>
    <row r="17" spans="1:13">
      <c r="A17" t="s">
        <v>93</v>
      </c>
      <c r="B17" t="s">
        <v>14</v>
      </c>
      <c r="C17" t="s">
        <v>15</v>
      </c>
      <c r="D17" t="s">
        <v>94</v>
      </c>
      <c r="E17" t="s">
        <v>95</v>
      </c>
      <c r="F17" t="s">
        <v>26</v>
      </c>
      <c r="G17" t="s">
        <v>37</v>
      </c>
      <c r="H17" t="s">
        <v>96</v>
      </c>
      <c r="I17" t="s">
        <v>15</v>
      </c>
      <c r="J17" t="s">
        <v>21</v>
      </c>
      <c r="K17" t="s">
        <v>22</v>
      </c>
      <c r="L17">
        <f>BDP($H17,"BICS_LEVEL_1_SECTOR_NAME")</f>
        <v/>
      </c>
      <c r="M17">
        <f>BDP($H17,"BICS_LEVEL_3_INDUSTRY_NAME")</f>
        <v/>
      </c>
    </row>
    <row r="18" spans="1:13">
      <c r="A18" t="s">
        <v>97</v>
      </c>
      <c r="B18" t="s">
        <v>14</v>
      </c>
      <c r="C18" t="s">
        <v>15</v>
      </c>
      <c r="D18" t="s">
        <v>98</v>
      </c>
      <c r="E18" t="s">
        <v>99</v>
      </c>
      <c r="F18" t="s">
        <v>26</v>
      </c>
      <c r="G18" t="s">
        <v>37</v>
      </c>
      <c r="H18" t="s">
        <v>100</v>
      </c>
      <c r="I18" t="s">
        <v>15</v>
      </c>
      <c r="J18" t="s">
        <v>21</v>
      </c>
      <c r="K18" t="s">
        <v>22</v>
      </c>
      <c r="L18">
        <f>BDP($H18,"BICS_LEVEL_1_SECTOR_NAME")</f>
        <v/>
      </c>
      <c r="M18">
        <f>BDP($H18,"BICS_LEVEL_3_INDUSTRY_NAME")</f>
        <v/>
      </c>
    </row>
    <row r="19" spans="1:13">
      <c r="A19" t="s">
        <v>101</v>
      </c>
      <c r="B19" t="s">
        <v>14</v>
      </c>
      <c r="C19" t="s">
        <v>15</v>
      </c>
      <c r="D19" t="s">
        <v>102</v>
      </c>
      <c r="E19" t="s">
        <v>103</v>
      </c>
      <c r="F19" t="s">
        <v>26</v>
      </c>
      <c r="G19" t="s">
        <v>37</v>
      </c>
      <c r="H19" t="s">
        <v>104</v>
      </c>
      <c r="I19" t="s">
        <v>15</v>
      </c>
      <c r="J19" t="s">
        <v>21</v>
      </c>
      <c r="K19" t="s">
        <v>22</v>
      </c>
      <c r="L19">
        <f>BDP($H19,"BICS_LEVEL_1_SECTOR_NAME")</f>
        <v/>
      </c>
      <c r="M19">
        <f>BDP($H19,"BICS_LEVEL_3_INDUSTRY_NAME")</f>
        <v/>
      </c>
    </row>
    <row r="20" spans="1:13">
      <c r="A20" t="s">
        <v>105</v>
      </c>
      <c r="B20" t="s">
        <v>14</v>
      </c>
      <c r="C20" t="s">
        <v>15</v>
      </c>
      <c r="D20" t="s">
        <v>106</v>
      </c>
      <c r="E20" t="s">
        <v>107</v>
      </c>
      <c r="F20" t="s">
        <v>48</v>
      </c>
      <c r="G20" t="s">
        <v>108</v>
      </c>
      <c r="H20" t="s">
        <v>109</v>
      </c>
      <c r="I20" t="s">
        <v>15</v>
      </c>
      <c r="J20" t="s">
        <v>21</v>
      </c>
      <c r="K20" t="s">
        <v>22</v>
      </c>
      <c r="L20">
        <f>BDP($H20,"BICS_LEVEL_1_SECTOR_NAME")</f>
        <v/>
      </c>
      <c r="M20">
        <f>BDP($H20,"BICS_LEVEL_3_INDUSTRY_NAME")</f>
        <v/>
      </c>
    </row>
    <row r="21" spans="1:13">
      <c r="A21" t="s">
        <v>110</v>
      </c>
      <c r="B21" t="s">
        <v>14</v>
      </c>
      <c r="C21" t="s">
        <v>15</v>
      </c>
      <c r="D21" t="s">
        <v>111</v>
      </c>
      <c r="E21" t="s">
        <v>112</v>
      </c>
      <c r="F21" t="s">
        <v>42</v>
      </c>
      <c r="G21" t="s">
        <v>91</v>
      </c>
      <c r="H21" t="s">
        <v>113</v>
      </c>
      <c r="I21" t="s">
        <v>15</v>
      </c>
      <c r="J21" t="s">
        <v>21</v>
      </c>
      <c r="K21" t="s">
        <v>22</v>
      </c>
      <c r="L21">
        <f>BDP($H21,"BICS_LEVEL_1_SECTOR_NAME")</f>
        <v/>
      </c>
      <c r="M21">
        <f>BDP($H21,"BICS_LEVEL_3_INDUSTRY_NAME")</f>
        <v/>
      </c>
    </row>
    <row r="22" spans="1:13">
      <c r="A22" t="s">
        <v>114</v>
      </c>
      <c r="B22" t="s">
        <v>14</v>
      </c>
      <c r="C22" t="s">
        <v>15</v>
      </c>
      <c r="D22" t="s">
        <v>115</v>
      </c>
      <c r="E22" t="s">
        <v>116</v>
      </c>
      <c r="F22" t="s">
        <v>18</v>
      </c>
      <c r="G22" t="s">
        <v>117</v>
      </c>
      <c r="H22" t="s">
        <v>118</v>
      </c>
      <c r="I22" t="s">
        <v>15</v>
      </c>
      <c r="J22" t="s">
        <v>21</v>
      </c>
      <c r="K22" t="s">
        <v>22</v>
      </c>
      <c r="L22">
        <f>BDP($H22,"BICS_LEVEL_1_SECTOR_NAME")</f>
        <v/>
      </c>
      <c r="M22">
        <f>BDP($H22,"BICS_LEVEL_3_INDUSTRY_NAME")</f>
        <v/>
      </c>
    </row>
    <row r="23" spans="1:13">
      <c r="A23" t="s">
        <v>119</v>
      </c>
      <c r="B23" t="s">
        <v>14</v>
      </c>
      <c r="C23" t="s">
        <v>15</v>
      </c>
      <c r="D23" t="s">
        <v>120</v>
      </c>
      <c r="E23" t="s">
        <v>121</v>
      </c>
      <c r="F23" t="s">
        <v>42</v>
      </c>
      <c r="G23" t="s">
        <v>43</v>
      </c>
      <c r="H23" t="s">
        <v>122</v>
      </c>
      <c r="I23" t="s">
        <v>15</v>
      </c>
      <c r="J23" t="s">
        <v>21</v>
      </c>
      <c r="K23" t="s">
        <v>22</v>
      </c>
      <c r="L23">
        <f>BDP($H23,"BICS_LEVEL_1_SECTOR_NAME")</f>
        <v/>
      </c>
      <c r="M23">
        <f>BDP($H23,"BICS_LEVEL_3_INDUSTRY_NAME")</f>
        <v/>
      </c>
    </row>
    <row r="24" spans="1:13">
      <c r="A24" t="s">
        <v>123</v>
      </c>
      <c r="B24" t="s">
        <v>14</v>
      </c>
      <c r="C24" t="s">
        <v>15</v>
      </c>
      <c r="D24" t="s">
        <v>124</v>
      </c>
      <c r="E24" t="s">
        <v>125</v>
      </c>
      <c r="F24" t="s">
        <v>42</v>
      </c>
      <c r="G24" t="s">
        <v>43</v>
      </c>
      <c r="H24" t="s">
        <v>126</v>
      </c>
      <c r="I24" t="s">
        <v>15</v>
      </c>
      <c r="J24" t="s">
        <v>21</v>
      </c>
      <c r="K24" t="s">
        <v>22</v>
      </c>
      <c r="L24">
        <f>BDP($H24,"BICS_LEVEL_1_SECTOR_NAME")</f>
        <v/>
      </c>
      <c r="M24">
        <f>BDP($H24,"BICS_LEVEL_3_INDUSTRY_NAME")</f>
        <v/>
      </c>
    </row>
    <row r="25" spans="1:13">
      <c r="A25" t="s">
        <v>127</v>
      </c>
      <c r="B25" t="s">
        <v>14</v>
      </c>
      <c r="C25" t="s">
        <v>15</v>
      </c>
      <c r="D25" t="s">
        <v>128</v>
      </c>
      <c r="E25" t="s">
        <v>129</v>
      </c>
      <c r="F25" t="s">
        <v>42</v>
      </c>
      <c r="G25" t="s">
        <v>43</v>
      </c>
      <c r="H25" t="s">
        <v>130</v>
      </c>
      <c r="I25" t="s">
        <v>15</v>
      </c>
      <c r="J25" t="s">
        <v>21</v>
      </c>
      <c r="K25" t="s">
        <v>22</v>
      </c>
      <c r="L25">
        <f>BDP($H25,"BICS_LEVEL_1_SECTOR_NAME")</f>
        <v/>
      </c>
      <c r="M25">
        <f>BDP($H25,"BICS_LEVEL_3_INDUSTRY_NAME")</f>
        <v/>
      </c>
    </row>
    <row r="26" spans="1:13">
      <c r="A26" t="s">
        <v>131</v>
      </c>
      <c r="B26" t="s">
        <v>14</v>
      </c>
      <c r="C26" t="s">
        <v>15</v>
      </c>
      <c r="D26" t="s">
        <v>132</v>
      </c>
      <c r="E26" t="s">
        <v>133</v>
      </c>
      <c r="F26" t="s">
        <v>26</v>
      </c>
      <c r="G26" t="s">
        <v>134</v>
      </c>
      <c r="H26" t="s">
        <v>135</v>
      </c>
      <c r="I26" t="s">
        <v>15</v>
      </c>
      <c r="J26" t="s">
        <v>21</v>
      </c>
      <c r="K26" t="s">
        <v>22</v>
      </c>
      <c r="L26">
        <f>BDP($H26,"BICS_LEVEL_1_SECTOR_NAME")</f>
        <v/>
      </c>
      <c r="M26">
        <f>BDP($H26,"BICS_LEVEL_3_INDUSTRY_NAME")</f>
        <v/>
      </c>
    </row>
    <row r="27" spans="1:13">
      <c r="A27" t="s">
        <v>136</v>
      </c>
      <c r="B27" t="s">
        <v>14</v>
      </c>
      <c r="C27" t="s">
        <v>15</v>
      </c>
      <c r="D27" t="s">
        <v>137</v>
      </c>
      <c r="E27" t="s">
        <v>138</v>
      </c>
      <c r="F27" t="s">
        <v>26</v>
      </c>
      <c r="G27" t="s">
        <v>37</v>
      </c>
      <c r="H27" t="s">
        <v>139</v>
      </c>
      <c r="I27" t="s">
        <v>15</v>
      </c>
      <c r="J27" t="s">
        <v>21</v>
      </c>
      <c r="K27" t="s">
        <v>22</v>
      </c>
      <c r="L27">
        <f>BDP($H27,"BICS_LEVEL_1_SECTOR_NAME")</f>
        <v/>
      </c>
      <c r="M27">
        <f>BDP($H27,"BICS_LEVEL_3_INDUSTRY_NAME")</f>
        <v/>
      </c>
    </row>
    <row r="28" spans="1:13">
      <c r="A28" t="s">
        <v>140</v>
      </c>
      <c r="B28" t="s">
        <v>14</v>
      </c>
      <c r="C28" t="s">
        <v>15</v>
      </c>
      <c r="D28" t="s">
        <v>141</v>
      </c>
      <c r="E28" t="s">
        <v>142</v>
      </c>
      <c r="F28" t="s">
        <v>48</v>
      </c>
      <c r="G28" t="s">
        <v>143</v>
      </c>
      <c r="H28" t="s">
        <v>144</v>
      </c>
      <c r="I28" t="s">
        <v>15</v>
      </c>
      <c r="J28" t="s">
        <v>21</v>
      </c>
      <c r="K28" t="s">
        <v>22</v>
      </c>
      <c r="L28">
        <f>BDP($H28,"BICS_LEVEL_1_SECTOR_NAME")</f>
        <v/>
      </c>
      <c r="M28">
        <f>BDP($H28,"BICS_LEVEL_3_INDUSTRY_NAME")</f>
        <v/>
      </c>
    </row>
    <row r="29" spans="1:13">
      <c r="A29" t="s">
        <v>145</v>
      </c>
      <c r="B29" t="s">
        <v>14</v>
      </c>
      <c r="C29" t="s">
        <v>15</v>
      </c>
      <c r="D29" t="s">
        <v>146</v>
      </c>
      <c r="E29" t="s">
        <v>147</v>
      </c>
      <c r="F29" t="s">
        <v>48</v>
      </c>
      <c r="G29" t="s">
        <v>148</v>
      </c>
      <c r="H29" t="s">
        <v>149</v>
      </c>
      <c r="I29" t="s">
        <v>15</v>
      </c>
      <c r="J29" t="s">
        <v>21</v>
      </c>
      <c r="K29" t="s">
        <v>22</v>
      </c>
      <c r="L29">
        <f>BDP($H29,"BICS_LEVEL_1_SECTOR_NAME")</f>
        <v/>
      </c>
      <c r="M29">
        <f>BDP($H29,"BICS_LEVEL_3_INDUSTRY_NAME")</f>
        <v/>
      </c>
    </row>
    <row r="30" spans="1:13">
      <c r="A30" t="s">
        <v>150</v>
      </c>
      <c r="B30" t="s">
        <v>14</v>
      </c>
      <c r="C30" t="s">
        <v>15</v>
      </c>
      <c r="D30" t="s">
        <v>151</v>
      </c>
      <c r="E30" t="s">
        <v>152</v>
      </c>
      <c r="F30" t="s">
        <v>48</v>
      </c>
      <c r="G30" t="s">
        <v>153</v>
      </c>
      <c r="H30" t="s">
        <v>154</v>
      </c>
      <c r="I30" t="s">
        <v>15</v>
      </c>
      <c r="J30" t="s">
        <v>21</v>
      </c>
      <c r="K30" t="s">
        <v>22</v>
      </c>
      <c r="L30">
        <f>BDP($H30,"BICS_LEVEL_1_SECTOR_NAME")</f>
        <v/>
      </c>
      <c r="M30">
        <f>BDP($H30,"BICS_LEVEL_3_INDUSTRY_NAME")</f>
        <v/>
      </c>
    </row>
    <row r="31" spans="1:13">
      <c r="A31" t="s">
        <v>155</v>
      </c>
      <c r="B31" t="s">
        <v>14</v>
      </c>
      <c r="C31" t="s">
        <v>15</v>
      </c>
      <c r="D31" t="s">
        <v>156</v>
      </c>
      <c r="E31" t="s">
        <v>157</v>
      </c>
      <c r="F31" t="s">
        <v>26</v>
      </c>
      <c r="G31" t="s">
        <v>37</v>
      </c>
      <c r="H31" t="s">
        <v>158</v>
      </c>
      <c r="I31" t="s">
        <v>15</v>
      </c>
      <c r="J31" t="s">
        <v>21</v>
      </c>
      <c r="K31" t="s">
        <v>22</v>
      </c>
      <c r="L31">
        <f>BDP($H31,"BICS_LEVEL_1_SECTOR_NAME")</f>
        <v/>
      </c>
      <c r="M31">
        <f>BDP($H31,"BICS_LEVEL_3_INDUSTRY_NAME")</f>
        <v/>
      </c>
    </row>
    <row r="32" spans="1:13">
      <c r="A32" t="s">
        <v>159</v>
      </c>
      <c r="B32" t="s">
        <v>14</v>
      </c>
      <c r="C32" t="s">
        <v>15</v>
      </c>
      <c r="D32" t="s">
        <v>160</v>
      </c>
      <c r="E32" t="s">
        <v>161</v>
      </c>
      <c r="F32" t="s">
        <v>42</v>
      </c>
      <c r="G32" t="s">
        <v>91</v>
      </c>
      <c r="H32" t="s">
        <v>162</v>
      </c>
      <c r="I32" t="s">
        <v>15</v>
      </c>
      <c r="J32" t="s">
        <v>21</v>
      </c>
      <c r="K32" t="s">
        <v>22</v>
      </c>
      <c r="L32">
        <f>BDP($H32,"BICS_LEVEL_1_SECTOR_NAME")</f>
        <v/>
      </c>
      <c r="M32">
        <f>BDP($H32,"BICS_LEVEL_3_INDUSTRY_NAME")</f>
        <v/>
      </c>
    </row>
    <row r="33" spans="1:13">
      <c r="A33" t="s">
        <v>163</v>
      </c>
      <c r="B33" t="s">
        <v>14</v>
      </c>
      <c r="C33" t="s">
        <v>15</v>
      </c>
      <c r="D33" t="s">
        <v>164</v>
      </c>
      <c r="E33" t="s">
        <v>165</v>
      </c>
      <c r="F33" t="s">
        <v>48</v>
      </c>
      <c r="G33" t="s">
        <v>166</v>
      </c>
      <c r="H33" t="s">
        <v>167</v>
      </c>
      <c r="I33" t="s">
        <v>15</v>
      </c>
      <c r="J33" t="s">
        <v>21</v>
      </c>
      <c r="K33" t="s">
        <v>22</v>
      </c>
      <c r="L33">
        <f>BDP($H33,"BICS_LEVEL_1_SECTOR_NAME")</f>
        <v/>
      </c>
      <c r="M33">
        <f>BDP($H33,"BICS_LEVEL_3_INDUSTRY_NAME")</f>
        <v/>
      </c>
    </row>
    <row r="34" spans="1:13">
      <c r="A34" t="s">
        <v>168</v>
      </c>
      <c r="B34" t="s">
        <v>14</v>
      </c>
      <c r="C34" t="s">
        <v>15</v>
      </c>
      <c r="D34" t="s">
        <v>169</v>
      </c>
      <c r="E34" t="s">
        <v>170</v>
      </c>
      <c r="F34" t="s">
        <v>48</v>
      </c>
      <c r="G34" t="s">
        <v>166</v>
      </c>
      <c r="H34" t="s">
        <v>171</v>
      </c>
      <c r="I34" t="s">
        <v>15</v>
      </c>
      <c r="J34" t="s">
        <v>21</v>
      </c>
      <c r="K34" t="s">
        <v>22</v>
      </c>
      <c r="L34">
        <f>BDP($H34,"BICS_LEVEL_1_SECTOR_NAME")</f>
        <v/>
      </c>
      <c r="M34">
        <f>BDP($H34,"BICS_LEVEL_3_INDUSTRY_NAME")</f>
        <v/>
      </c>
    </row>
    <row r="35" spans="1:13">
      <c r="A35" t="s">
        <v>172</v>
      </c>
      <c r="B35" t="s">
        <v>14</v>
      </c>
      <c r="C35" t="s">
        <v>15</v>
      </c>
      <c r="D35" t="s">
        <v>173</v>
      </c>
      <c r="E35" t="s">
        <v>174</v>
      </c>
      <c r="F35" t="s">
        <v>26</v>
      </c>
      <c r="G35" t="s">
        <v>175</v>
      </c>
      <c r="H35" t="s">
        <v>176</v>
      </c>
      <c r="I35" t="s">
        <v>15</v>
      </c>
      <c r="J35" t="s">
        <v>21</v>
      </c>
      <c r="K35" t="s">
        <v>22</v>
      </c>
      <c r="L35">
        <f>BDP($H35,"BICS_LEVEL_1_SECTOR_NAME")</f>
        <v/>
      </c>
      <c r="M35">
        <f>BDP($H35,"BICS_LEVEL_3_INDUSTRY_NAME")</f>
        <v/>
      </c>
    </row>
    <row r="36" spans="1:13">
      <c r="A36" t="s">
        <v>177</v>
      </c>
      <c r="B36" t="s">
        <v>14</v>
      </c>
      <c r="C36" t="s">
        <v>15</v>
      </c>
      <c r="D36" t="s">
        <v>178</v>
      </c>
      <c r="E36" t="s">
        <v>179</v>
      </c>
      <c r="F36" t="s">
        <v>42</v>
      </c>
      <c r="G36" t="s">
        <v>91</v>
      </c>
      <c r="H36" t="s">
        <v>180</v>
      </c>
      <c r="I36" t="s">
        <v>15</v>
      </c>
      <c r="J36" t="s">
        <v>21</v>
      </c>
      <c r="K36" t="s">
        <v>22</v>
      </c>
      <c r="L36">
        <f>BDP($H36,"BICS_LEVEL_1_SECTOR_NAME")</f>
        <v/>
      </c>
      <c r="M36">
        <f>BDP($H36,"BICS_LEVEL_3_INDUSTRY_NAME")</f>
        <v/>
      </c>
    </row>
    <row r="37" spans="1:13">
      <c r="A37" t="s">
        <v>181</v>
      </c>
      <c r="B37" t="s">
        <v>14</v>
      </c>
      <c r="C37" t="s">
        <v>15</v>
      </c>
      <c r="D37" t="s">
        <v>182</v>
      </c>
      <c r="E37" t="s">
        <v>183</v>
      </c>
      <c r="F37" t="s">
        <v>42</v>
      </c>
      <c r="G37" t="s">
        <v>43</v>
      </c>
      <c r="H37" t="s">
        <v>184</v>
      </c>
      <c r="I37" t="s">
        <v>15</v>
      </c>
      <c r="J37" t="s">
        <v>21</v>
      </c>
      <c r="K37" t="s">
        <v>22</v>
      </c>
      <c r="L37">
        <f>BDP($H37,"BICS_LEVEL_1_SECTOR_NAME")</f>
        <v/>
      </c>
      <c r="M37">
        <f>BDP($H37,"BICS_LEVEL_3_INDUSTRY_NAME")</f>
        <v/>
      </c>
    </row>
    <row r="38" spans="1:13">
      <c r="A38" t="s">
        <v>185</v>
      </c>
      <c r="B38" t="s">
        <v>14</v>
      </c>
      <c r="C38" t="s">
        <v>15</v>
      </c>
      <c r="D38" t="s">
        <v>186</v>
      </c>
      <c r="E38" t="s">
        <v>187</v>
      </c>
      <c r="F38" t="s">
        <v>18</v>
      </c>
      <c r="G38" t="s">
        <v>188</v>
      </c>
      <c r="H38" t="s">
        <v>189</v>
      </c>
      <c r="I38" t="s">
        <v>15</v>
      </c>
      <c r="J38" t="s">
        <v>21</v>
      </c>
      <c r="K38" t="s">
        <v>22</v>
      </c>
      <c r="L38">
        <f>BDP($H38,"BICS_LEVEL_1_SECTOR_NAME")</f>
        <v/>
      </c>
      <c r="M38">
        <f>BDP($H38,"BICS_LEVEL_3_INDUSTRY_NAME")</f>
        <v/>
      </c>
    </row>
    <row r="39" spans="1:13">
      <c r="A39" t="s">
        <v>190</v>
      </c>
      <c r="B39" t="s">
        <v>14</v>
      </c>
      <c r="C39" t="s">
        <v>15</v>
      </c>
      <c r="D39" t="s">
        <v>191</v>
      </c>
      <c r="E39" t="s">
        <v>192</v>
      </c>
      <c r="F39" t="s">
        <v>48</v>
      </c>
      <c r="G39" t="s">
        <v>193</v>
      </c>
      <c r="H39" t="s">
        <v>194</v>
      </c>
      <c r="I39" t="s">
        <v>15</v>
      </c>
      <c r="J39" t="s">
        <v>21</v>
      </c>
      <c r="K39" t="s">
        <v>22</v>
      </c>
      <c r="L39">
        <f>BDP($H39,"BICS_LEVEL_1_SECTOR_NAME")</f>
        <v/>
      </c>
      <c r="M39">
        <f>BDP($H39,"BICS_LEVEL_3_INDUSTRY_NAME")</f>
        <v/>
      </c>
    </row>
    <row r="40" spans="1:13">
      <c r="A40" t="s">
        <v>195</v>
      </c>
      <c r="B40" t="s">
        <v>14</v>
      </c>
      <c r="C40" t="s">
        <v>15</v>
      </c>
      <c r="D40" t="s">
        <v>196</v>
      </c>
      <c r="E40" t="s">
        <v>197</v>
      </c>
      <c r="F40" t="s">
        <v>48</v>
      </c>
      <c r="G40" t="s">
        <v>198</v>
      </c>
      <c r="H40" t="s">
        <v>199</v>
      </c>
      <c r="I40" t="s">
        <v>15</v>
      </c>
      <c r="J40" t="s">
        <v>21</v>
      </c>
      <c r="K40" t="s">
        <v>22</v>
      </c>
      <c r="L40">
        <f>BDP($H40,"BICS_LEVEL_1_SECTOR_NAME")</f>
        <v/>
      </c>
      <c r="M40">
        <f>BDP($H40,"BICS_LEVEL_3_INDUSTRY_NAME")</f>
        <v/>
      </c>
    </row>
    <row r="41" spans="1:13">
      <c r="A41" t="s">
        <v>200</v>
      </c>
      <c r="B41" t="s">
        <v>14</v>
      </c>
      <c r="C41" t="s">
        <v>15</v>
      </c>
      <c r="D41" t="s">
        <v>201</v>
      </c>
      <c r="E41" t="s">
        <v>202</v>
      </c>
      <c r="F41" t="s">
        <v>26</v>
      </c>
      <c r="G41" t="s">
        <v>37</v>
      </c>
      <c r="H41" t="s">
        <v>203</v>
      </c>
      <c r="I41" t="s">
        <v>15</v>
      </c>
      <c r="J41" t="s">
        <v>21</v>
      </c>
      <c r="K41" t="s">
        <v>22</v>
      </c>
      <c r="L41">
        <f>BDP($H41,"BICS_LEVEL_1_SECTOR_NAME")</f>
        <v/>
      </c>
      <c r="M41">
        <f>BDP($H41,"BICS_LEVEL_3_INDUSTRY_NAME")</f>
        <v/>
      </c>
    </row>
    <row r="42" spans="1:13">
      <c r="A42" t="s">
        <v>204</v>
      </c>
      <c r="B42" t="s">
        <v>14</v>
      </c>
      <c r="C42" t="s">
        <v>15</v>
      </c>
      <c r="D42" t="s">
        <v>205</v>
      </c>
      <c r="E42" t="s">
        <v>206</v>
      </c>
      <c r="F42" t="s">
        <v>207</v>
      </c>
      <c r="G42" t="s">
        <v>208</v>
      </c>
      <c r="H42" t="s">
        <v>209</v>
      </c>
      <c r="I42" t="s">
        <v>15</v>
      </c>
      <c r="J42" t="s">
        <v>21</v>
      </c>
      <c r="K42" t="s">
        <v>22</v>
      </c>
      <c r="L42">
        <f>BDP($H42,"BICS_LEVEL_1_SECTOR_NAME")</f>
        <v/>
      </c>
      <c r="M42">
        <f>BDP($H42,"BICS_LEVEL_3_INDUSTRY_NAME")</f>
        <v/>
      </c>
    </row>
    <row r="43" spans="1:13">
      <c r="A43" t="s">
        <v>210</v>
      </c>
      <c r="B43" t="s">
        <v>14</v>
      </c>
      <c r="C43" t="s">
        <v>15</v>
      </c>
      <c r="D43" t="s">
        <v>211</v>
      </c>
      <c r="E43" t="s">
        <v>212</v>
      </c>
      <c r="F43" t="s">
        <v>213</v>
      </c>
      <c r="G43" t="s">
        <v>214</v>
      </c>
      <c r="H43" t="s">
        <v>215</v>
      </c>
      <c r="I43" t="s">
        <v>15</v>
      </c>
      <c r="J43" t="s">
        <v>21</v>
      </c>
      <c r="K43" t="s">
        <v>22</v>
      </c>
      <c r="L43">
        <f>BDP($H43,"BICS_LEVEL_1_SECTOR_NAME")</f>
        <v/>
      </c>
      <c r="M43">
        <f>BDP($H43,"BICS_LEVEL_3_INDUSTRY_NAME")</f>
        <v/>
      </c>
    </row>
    <row r="44" spans="1:13">
      <c r="A44" t="s">
        <v>216</v>
      </c>
      <c r="B44" t="s">
        <v>14</v>
      </c>
      <c r="C44" t="s">
        <v>15</v>
      </c>
      <c r="D44" t="s">
        <v>217</v>
      </c>
      <c r="E44" t="s">
        <v>218</v>
      </c>
      <c r="F44" t="s">
        <v>42</v>
      </c>
      <c r="G44" t="s">
        <v>219</v>
      </c>
      <c r="H44" t="s">
        <v>220</v>
      </c>
      <c r="I44" t="s">
        <v>15</v>
      </c>
      <c r="J44" t="s">
        <v>21</v>
      </c>
      <c r="K44" t="s">
        <v>22</v>
      </c>
      <c r="L44">
        <f>BDP($H44,"BICS_LEVEL_1_SECTOR_NAME")</f>
        <v/>
      </c>
      <c r="M44">
        <f>BDP($H44,"BICS_LEVEL_3_INDUSTRY_NAME")</f>
        <v/>
      </c>
    </row>
    <row r="45" spans="1:13">
      <c r="A45" t="s">
        <v>221</v>
      </c>
      <c r="B45" t="s">
        <v>14</v>
      </c>
      <c r="C45" t="s">
        <v>15</v>
      </c>
      <c r="D45" t="s">
        <v>222</v>
      </c>
      <c r="E45" t="s">
        <v>223</v>
      </c>
      <c r="F45" t="s">
        <v>48</v>
      </c>
      <c r="G45" t="s">
        <v>224</v>
      </c>
      <c r="H45" t="s">
        <v>225</v>
      </c>
      <c r="I45" t="s">
        <v>15</v>
      </c>
      <c r="J45" t="s">
        <v>21</v>
      </c>
      <c r="K45" t="s">
        <v>22</v>
      </c>
      <c r="L45">
        <f>BDP($H45,"BICS_LEVEL_1_SECTOR_NAME")</f>
        <v/>
      </c>
      <c r="M45">
        <f>BDP($H45,"BICS_LEVEL_3_INDUSTRY_NAME")</f>
        <v/>
      </c>
    </row>
    <row r="46" spans="1:13">
      <c r="A46" t="s">
        <v>226</v>
      </c>
      <c r="B46" t="s">
        <v>14</v>
      </c>
      <c r="C46" t="s">
        <v>15</v>
      </c>
      <c r="D46" t="s">
        <v>227</v>
      </c>
      <c r="E46" t="s">
        <v>228</v>
      </c>
      <c r="F46" t="s">
        <v>48</v>
      </c>
      <c r="G46" t="s">
        <v>193</v>
      </c>
      <c r="H46" t="s">
        <v>229</v>
      </c>
      <c r="I46" t="s">
        <v>15</v>
      </c>
      <c r="J46" t="s">
        <v>21</v>
      </c>
      <c r="K46" t="s">
        <v>22</v>
      </c>
      <c r="L46">
        <f>BDP($H46,"BICS_LEVEL_1_SECTOR_NAME")</f>
        <v/>
      </c>
      <c r="M46">
        <f>BDP($H46,"BICS_LEVEL_3_INDUSTRY_NAME")</f>
        <v/>
      </c>
    </row>
    <row r="47" spans="1:13">
      <c r="A47" t="s">
        <v>230</v>
      </c>
      <c r="B47" t="s">
        <v>14</v>
      </c>
      <c r="C47" t="s">
        <v>15</v>
      </c>
      <c r="D47" t="s">
        <v>231</v>
      </c>
      <c r="E47" t="s">
        <v>232</v>
      </c>
      <c r="F47" t="s">
        <v>233</v>
      </c>
      <c r="G47" t="s">
        <v>234</v>
      </c>
      <c r="H47" t="s">
        <v>235</v>
      </c>
      <c r="I47" t="s">
        <v>15</v>
      </c>
      <c r="J47" t="s">
        <v>21</v>
      </c>
      <c r="K47" t="s">
        <v>22</v>
      </c>
      <c r="L47">
        <f>BDP($H47,"BICS_LEVEL_1_SECTOR_NAME")</f>
        <v/>
      </c>
      <c r="M47">
        <f>BDP($H47,"BICS_LEVEL_3_INDUSTRY_NAME")</f>
        <v/>
      </c>
    </row>
    <row r="48" spans="1:13">
      <c r="A48" t="s">
        <v>236</v>
      </c>
      <c r="B48" t="s">
        <v>14</v>
      </c>
      <c r="C48" t="s">
        <v>15</v>
      </c>
      <c r="D48" t="s">
        <v>237</v>
      </c>
      <c r="E48" t="s">
        <v>238</v>
      </c>
      <c r="F48" t="s">
        <v>26</v>
      </c>
      <c r="G48" t="s">
        <v>239</v>
      </c>
      <c r="H48" t="s">
        <v>240</v>
      </c>
      <c r="I48" t="s">
        <v>15</v>
      </c>
      <c r="J48" t="s">
        <v>21</v>
      </c>
      <c r="K48" t="s">
        <v>22</v>
      </c>
      <c r="L48">
        <f>BDP($H48,"BICS_LEVEL_1_SECTOR_NAME")</f>
        <v/>
      </c>
      <c r="M48">
        <f>BDP($H48,"BICS_LEVEL_3_INDUSTRY_NAME")</f>
        <v/>
      </c>
    </row>
    <row r="49" spans="1:13">
      <c r="A49" t="s">
        <v>241</v>
      </c>
      <c r="B49" t="s">
        <v>14</v>
      </c>
      <c r="C49" t="s">
        <v>15</v>
      </c>
      <c r="D49" t="s">
        <v>242</v>
      </c>
      <c r="E49" t="s">
        <v>243</v>
      </c>
      <c r="F49" t="s">
        <v>207</v>
      </c>
      <c r="G49" t="s">
        <v>208</v>
      </c>
      <c r="H49" t="s">
        <v>244</v>
      </c>
      <c r="I49" t="s">
        <v>15</v>
      </c>
      <c r="J49" t="s">
        <v>21</v>
      </c>
      <c r="K49" t="s">
        <v>22</v>
      </c>
      <c r="L49">
        <f>BDP($H49,"BICS_LEVEL_1_SECTOR_NAME")</f>
        <v/>
      </c>
      <c r="M49">
        <f>BDP($H49,"BICS_LEVEL_3_INDUSTRY_NAME")</f>
        <v/>
      </c>
    </row>
    <row r="50" spans="1:13">
      <c r="A50" t="s">
        <v>245</v>
      </c>
      <c r="B50" t="s">
        <v>14</v>
      </c>
      <c r="C50" t="s">
        <v>15</v>
      </c>
      <c r="D50" t="s">
        <v>246</v>
      </c>
      <c r="E50" t="s">
        <v>247</v>
      </c>
      <c r="F50" t="s">
        <v>207</v>
      </c>
      <c r="G50" t="s">
        <v>248</v>
      </c>
      <c r="H50" t="s">
        <v>249</v>
      </c>
      <c r="I50" t="s">
        <v>15</v>
      </c>
      <c r="J50" t="s">
        <v>21</v>
      </c>
      <c r="K50" t="s">
        <v>22</v>
      </c>
      <c r="L50">
        <f>BDP($H50,"BICS_LEVEL_1_SECTOR_NAME")</f>
        <v/>
      </c>
      <c r="M50">
        <f>BDP($H50,"BICS_LEVEL_3_INDUSTRY_NAME")</f>
        <v/>
      </c>
    </row>
    <row r="51" spans="1:13">
      <c r="A51" t="s">
        <v>250</v>
      </c>
      <c r="B51" t="s">
        <v>14</v>
      </c>
      <c r="C51" t="s">
        <v>15</v>
      </c>
      <c r="D51" t="s">
        <v>251</v>
      </c>
      <c r="E51" t="s">
        <v>252</v>
      </c>
      <c r="F51" t="s">
        <v>26</v>
      </c>
      <c r="G51" t="s">
        <v>37</v>
      </c>
      <c r="H51" t="s">
        <v>253</v>
      </c>
      <c r="I51" t="s">
        <v>15</v>
      </c>
      <c r="J51" t="s">
        <v>21</v>
      </c>
      <c r="K51" t="s">
        <v>22</v>
      </c>
      <c r="L51">
        <f>BDP($H51,"BICS_LEVEL_1_SECTOR_NAME")</f>
        <v/>
      </c>
      <c r="M51">
        <f>BDP($H51,"BICS_LEVEL_3_INDUSTRY_NAME")</f>
        <v/>
      </c>
    </row>
    <row r="52" spans="1:13">
      <c r="A52" t="s">
        <v>254</v>
      </c>
      <c r="B52" t="s">
        <v>14</v>
      </c>
      <c r="C52" t="s">
        <v>15</v>
      </c>
      <c r="D52" t="s">
        <v>255</v>
      </c>
      <c r="E52" t="s">
        <v>256</v>
      </c>
      <c r="F52" t="s">
        <v>26</v>
      </c>
      <c r="G52" t="s">
        <v>37</v>
      </c>
      <c r="H52" t="s">
        <v>257</v>
      </c>
      <c r="I52" t="s">
        <v>15</v>
      </c>
      <c r="J52" t="s">
        <v>21</v>
      </c>
      <c r="K52" t="s">
        <v>22</v>
      </c>
      <c r="L52">
        <f>BDP($H52,"BICS_LEVEL_1_SECTOR_NAME")</f>
        <v/>
      </c>
      <c r="M52">
        <f>BDP($H52,"BICS_LEVEL_3_INDUSTRY_NAME")</f>
        <v/>
      </c>
    </row>
    <row r="53" spans="1:13">
      <c r="A53" t="s">
        <v>258</v>
      </c>
      <c r="B53" t="s">
        <v>14</v>
      </c>
      <c r="C53" t="s">
        <v>15</v>
      </c>
      <c r="D53" t="s">
        <v>259</v>
      </c>
      <c r="E53" t="s">
        <v>260</v>
      </c>
      <c r="F53" t="s">
        <v>18</v>
      </c>
      <c r="G53" t="s">
        <v>261</v>
      </c>
      <c r="H53" t="s">
        <v>262</v>
      </c>
      <c r="I53" t="s">
        <v>15</v>
      </c>
      <c r="J53" t="s">
        <v>21</v>
      </c>
      <c r="K53" t="s">
        <v>22</v>
      </c>
      <c r="L53">
        <f>BDP($H53,"BICS_LEVEL_1_SECTOR_NAME")</f>
        <v/>
      </c>
      <c r="M53">
        <f>BDP($H53,"BICS_LEVEL_3_INDUSTRY_NAME")</f>
        <v/>
      </c>
    </row>
    <row r="54" spans="1:13">
      <c r="A54" t="s">
        <v>263</v>
      </c>
      <c r="B54" t="s">
        <v>14</v>
      </c>
      <c r="C54" t="s">
        <v>15</v>
      </c>
      <c r="D54" t="s">
        <v>264</v>
      </c>
      <c r="E54" t="s">
        <v>265</v>
      </c>
      <c r="F54" t="s">
        <v>48</v>
      </c>
      <c r="G54" t="s">
        <v>266</v>
      </c>
      <c r="H54" t="s">
        <v>267</v>
      </c>
      <c r="I54" t="s">
        <v>15</v>
      </c>
      <c r="J54" t="s">
        <v>21</v>
      </c>
      <c r="K54" t="s">
        <v>22</v>
      </c>
      <c r="L54">
        <f>BDP($H54,"BICS_LEVEL_1_SECTOR_NAME")</f>
        <v/>
      </c>
      <c r="M54">
        <f>BDP($H54,"BICS_LEVEL_3_INDUSTRY_NAME")</f>
        <v/>
      </c>
    </row>
    <row r="55" spans="1:13">
      <c r="A55" t="s">
        <v>268</v>
      </c>
      <c r="B55" t="s">
        <v>14</v>
      </c>
      <c r="C55" t="s">
        <v>15</v>
      </c>
      <c r="D55" t="s">
        <v>269</v>
      </c>
      <c r="E55" t="s">
        <v>270</v>
      </c>
      <c r="F55" t="s">
        <v>18</v>
      </c>
      <c r="G55" t="s">
        <v>271</v>
      </c>
      <c r="H55" t="s">
        <v>272</v>
      </c>
      <c r="I55" t="s">
        <v>15</v>
      </c>
      <c r="J55" t="s">
        <v>21</v>
      </c>
      <c r="K55" t="s">
        <v>22</v>
      </c>
      <c r="L55">
        <f>BDP($H55,"BICS_LEVEL_1_SECTOR_NAME")</f>
        <v/>
      </c>
      <c r="M55">
        <f>BDP($H55,"BICS_LEVEL_3_INDUSTRY_NAME")</f>
        <v/>
      </c>
    </row>
    <row r="56" spans="1:13">
      <c r="A56" t="s">
        <v>273</v>
      </c>
      <c r="B56" t="s">
        <v>14</v>
      </c>
      <c r="C56" t="s">
        <v>15</v>
      </c>
      <c r="D56" t="s">
        <v>274</v>
      </c>
      <c r="E56" t="s">
        <v>275</v>
      </c>
      <c r="F56" t="s">
        <v>42</v>
      </c>
      <c r="G56" t="s">
        <v>276</v>
      </c>
      <c r="H56" t="s">
        <v>277</v>
      </c>
      <c r="I56" t="s">
        <v>15</v>
      </c>
      <c r="J56" t="s">
        <v>21</v>
      </c>
      <c r="K56" t="s">
        <v>22</v>
      </c>
      <c r="L56">
        <f>BDP($H56,"BICS_LEVEL_1_SECTOR_NAME")</f>
        <v/>
      </c>
      <c r="M56">
        <f>BDP($H56,"BICS_LEVEL_3_INDUSTRY_NAME")</f>
        <v/>
      </c>
    </row>
    <row r="57" spans="1:13">
      <c r="A57" t="s">
        <v>278</v>
      </c>
      <c r="B57" t="s">
        <v>14</v>
      </c>
      <c r="C57" t="s">
        <v>15</v>
      </c>
      <c r="D57" t="s">
        <v>279</v>
      </c>
      <c r="E57" t="s">
        <v>280</v>
      </c>
      <c r="F57" t="s">
        <v>26</v>
      </c>
      <c r="G57" t="s">
        <v>37</v>
      </c>
      <c r="H57" t="s">
        <v>281</v>
      </c>
      <c r="I57" t="s">
        <v>15</v>
      </c>
      <c r="J57" t="s">
        <v>21</v>
      </c>
      <c r="K57" t="s">
        <v>22</v>
      </c>
      <c r="L57">
        <f>BDP($H57,"BICS_LEVEL_1_SECTOR_NAME")</f>
        <v/>
      </c>
      <c r="M57">
        <f>BDP($H57,"BICS_LEVEL_3_INDUSTRY_NAME")</f>
        <v/>
      </c>
    </row>
    <row r="58" spans="1:13">
      <c r="A58" t="s">
        <v>282</v>
      </c>
      <c r="B58" t="s">
        <v>14</v>
      </c>
      <c r="C58" t="s">
        <v>15</v>
      </c>
      <c r="D58" t="s">
        <v>283</v>
      </c>
      <c r="E58" t="s">
        <v>284</v>
      </c>
      <c r="F58" t="s">
        <v>233</v>
      </c>
      <c r="G58" t="s">
        <v>208</v>
      </c>
      <c r="H58" t="s">
        <v>285</v>
      </c>
      <c r="I58" t="s">
        <v>15</v>
      </c>
      <c r="J58" t="s">
        <v>21</v>
      </c>
      <c r="K58" t="s">
        <v>22</v>
      </c>
      <c r="L58">
        <f>BDP($H58,"BICS_LEVEL_1_SECTOR_NAME")</f>
        <v/>
      </c>
      <c r="M58">
        <f>BDP($H58,"BICS_LEVEL_3_INDUSTRY_NAME")</f>
        <v/>
      </c>
    </row>
    <row r="59" spans="1:13">
      <c r="A59" t="s">
        <v>286</v>
      </c>
      <c r="B59" t="s">
        <v>14</v>
      </c>
      <c r="C59" t="s">
        <v>15</v>
      </c>
      <c r="D59" t="s">
        <v>287</v>
      </c>
      <c r="E59" t="s">
        <v>288</v>
      </c>
      <c r="F59" t="s">
        <v>26</v>
      </c>
      <c r="G59" t="s">
        <v>239</v>
      </c>
      <c r="H59" t="s">
        <v>289</v>
      </c>
      <c r="I59" t="s">
        <v>15</v>
      </c>
      <c r="J59" t="s">
        <v>21</v>
      </c>
      <c r="K59" t="s">
        <v>22</v>
      </c>
      <c r="L59">
        <f>BDP($H59,"BICS_LEVEL_1_SECTOR_NAME")</f>
        <v/>
      </c>
      <c r="M59">
        <f>BDP($H59,"BICS_LEVEL_3_INDUSTRY_NAME")</f>
        <v/>
      </c>
    </row>
    <row r="60" spans="1:13">
      <c r="A60" t="s">
        <v>290</v>
      </c>
      <c r="B60" t="s">
        <v>14</v>
      </c>
      <c r="C60" t="s">
        <v>15</v>
      </c>
      <c r="D60" t="s">
        <v>291</v>
      </c>
      <c r="E60" t="s">
        <v>292</v>
      </c>
      <c r="F60" t="s">
        <v>18</v>
      </c>
      <c r="G60" t="s">
        <v>293</v>
      </c>
      <c r="H60" t="s">
        <v>294</v>
      </c>
      <c r="I60" t="s">
        <v>15</v>
      </c>
      <c r="J60" t="s">
        <v>21</v>
      </c>
      <c r="K60" t="s">
        <v>22</v>
      </c>
      <c r="L60">
        <f>BDP($H60,"BICS_LEVEL_1_SECTOR_NAME")</f>
        <v/>
      </c>
      <c r="M60">
        <f>BDP($H60,"BICS_LEVEL_3_INDUSTRY_NAME")</f>
        <v/>
      </c>
    </row>
    <row r="61" spans="1:13">
      <c r="A61" t="s">
        <v>295</v>
      </c>
      <c r="B61" t="s">
        <v>14</v>
      </c>
      <c r="C61" t="s">
        <v>15</v>
      </c>
      <c r="D61" t="s">
        <v>296</v>
      </c>
      <c r="E61" t="s">
        <v>297</v>
      </c>
      <c r="F61" t="s">
        <v>26</v>
      </c>
      <c r="G61" t="s">
        <v>239</v>
      </c>
      <c r="H61" t="s">
        <v>298</v>
      </c>
      <c r="I61" t="s">
        <v>15</v>
      </c>
      <c r="J61" t="s">
        <v>21</v>
      </c>
      <c r="K61" t="s">
        <v>22</v>
      </c>
      <c r="L61">
        <f>BDP($H61,"BICS_LEVEL_1_SECTOR_NAME")</f>
        <v/>
      </c>
      <c r="M61">
        <f>BDP($H61,"BICS_LEVEL_3_INDUSTRY_NAME")</f>
        <v/>
      </c>
    </row>
    <row r="62" spans="1:13">
      <c r="A62" t="s">
        <v>299</v>
      </c>
      <c r="B62" t="s">
        <v>14</v>
      </c>
      <c r="C62" t="s">
        <v>15</v>
      </c>
      <c r="D62" t="s">
        <v>300</v>
      </c>
      <c r="E62" t="s">
        <v>301</v>
      </c>
      <c r="F62" t="s">
        <v>48</v>
      </c>
      <c r="G62" t="s">
        <v>224</v>
      </c>
      <c r="H62" t="s">
        <v>302</v>
      </c>
      <c r="I62" t="s">
        <v>15</v>
      </c>
      <c r="J62" t="s">
        <v>21</v>
      </c>
      <c r="K62" t="s">
        <v>22</v>
      </c>
      <c r="L62">
        <f>BDP($H62,"BICS_LEVEL_1_SECTOR_NAME")</f>
        <v/>
      </c>
      <c r="M62">
        <f>BDP($H62,"BICS_LEVEL_3_INDUSTRY_NAME")</f>
        <v/>
      </c>
    </row>
    <row r="63" spans="1:13">
      <c r="A63" t="s">
        <v>303</v>
      </c>
      <c r="B63" t="s">
        <v>14</v>
      </c>
      <c r="C63" t="s">
        <v>15</v>
      </c>
      <c r="D63" t="s">
        <v>304</v>
      </c>
      <c r="E63" t="s">
        <v>305</v>
      </c>
      <c r="F63" t="s">
        <v>18</v>
      </c>
      <c r="G63" t="s">
        <v>306</v>
      </c>
      <c r="H63" t="s">
        <v>307</v>
      </c>
      <c r="I63" t="s">
        <v>15</v>
      </c>
      <c r="J63" t="s">
        <v>21</v>
      </c>
      <c r="K63" t="s">
        <v>22</v>
      </c>
      <c r="L63">
        <f>BDP($H63,"BICS_LEVEL_1_SECTOR_NAME")</f>
        <v/>
      </c>
      <c r="M63">
        <f>BDP($H63,"BICS_LEVEL_3_INDUSTRY_NAME")</f>
        <v/>
      </c>
    </row>
    <row r="64" spans="1:13">
      <c r="A64" t="s">
        <v>308</v>
      </c>
      <c r="B64" t="s">
        <v>14</v>
      </c>
      <c r="C64" t="s">
        <v>15</v>
      </c>
      <c r="D64" t="s">
        <v>309</v>
      </c>
      <c r="E64" t="s">
        <v>310</v>
      </c>
      <c r="F64" t="s">
        <v>48</v>
      </c>
      <c r="G64" t="s">
        <v>311</v>
      </c>
      <c r="H64" t="s">
        <v>312</v>
      </c>
      <c r="I64" t="s">
        <v>15</v>
      </c>
      <c r="J64" t="s">
        <v>21</v>
      </c>
      <c r="K64" t="s">
        <v>22</v>
      </c>
      <c r="L64">
        <f>BDP($H64,"BICS_LEVEL_1_SECTOR_NAME")</f>
        <v/>
      </c>
      <c r="M64">
        <f>BDP($H64,"BICS_LEVEL_3_INDUSTRY_NAME")</f>
        <v/>
      </c>
    </row>
    <row r="65" spans="1:13">
      <c r="A65" t="s">
        <v>313</v>
      </c>
      <c r="B65" t="s">
        <v>14</v>
      </c>
      <c r="C65" t="s">
        <v>15</v>
      </c>
      <c r="D65" t="s">
        <v>314</v>
      </c>
      <c r="E65" t="s">
        <v>315</v>
      </c>
      <c r="F65" t="s">
        <v>42</v>
      </c>
      <c r="G65" t="s">
        <v>91</v>
      </c>
      <c r="H65" t="s">
        <v>316</v>
      </c>
      <c r="I65" t="s">
        <v>15</v>
      </c>
      <c r="J65" t="s">
        <v>21</v>
      </c>
      <c r="K65" t="s">
        <v>22</v>
      </c>
      <c r="L65">
        <f>BDP($H65,"BICS_LEVEL_1_SECTOR_NAME")</f>
        <v/>
      </c>
      <c r="M65">
        <f>BDP($H65,"BICS_LEVEL_3_INDUSTRY_NAME")</f>
        <v/>
      </c>
    </row>
    <row r="66" spans="1:13">
      <c r="A66" t="s">
        <v>317</v>
      </c>
      <c r="B66" t="s">
        <v>14</v>
      </c>
      <c r="C66" t="s">
        <v>15</v>
      </c>
      <c r="D66" t="s">
        <v>318</v>
      </c>
      <c r="E66" t="s">
        <v>319</v>
      </c>
      <c r="F66" t="s">
        <v>42</v>
      </c>
      <c r="G66" t="s">
        <v>91</v>
      </c>
      <c r="H66" t="s">
        <v>320</v>
      </c>
      <c r="I66" t="s">
        <v>15</v>
      </c>
      <c r="J66" t="s">
        <v>21</v>
      </c>
      <c r="K66" t="s">
        <v>22</v>
      </c>
      <c r="L66">
        <f>BDP($H66,"BICS_LEVEL_1_SECTOR_NAME")</f>
        <v/>
      </c>
      <c r="M66">
        <f>BDP($H66,"BICS_LEVEL_3_INDUSTRY_NAME")</f>
        <v/>
      </c>
    </row>
    <row r="67" spans="1:13">
      <c r="A67" t="s">
        <v>321</v>
      </c>
      <c r="B67" t="s">
        <v>14</v>
      </c>
      <c r="C67" t="s">
        <v>15</v>
      </c>
      <c r="D67" t="s">
        <v>322</v>
      </c>
      <c r="E67" t="s">
        <v>323</v>
      </c>
      <c r="F67" t="s">
        <v>48</v>
      </c>
      <c r="G67" t="s">
        <v>193</v>
      </c>
      <c r="H67" t="s">
        <v>324</v>
      </c>
      <c r="I67" t="s">
        <v>15</v>
      </c>
      <c r="J67" t="s">
        <v>21</v>
      </c>
      <c r="K67" t="s">
        <v>22</v>
      </c>
      <c r="L67">
        <f>BDP($H67,"BICS_LEVEL_1_SECTOR_NAME")</f>
        <v/>
      </c>
      <c r="M67">
        <f>BDP($H67,"BICS_LEVEL_3_INDUSTRY_NAME")</f>
        <v/>
      </c>
    </row>
    <row r="68" spans="1:13">
      <c r="A68" t="s">
        <v>325</v>
      </c>
      <c r="B68" t="s">
        <v>14</v>
      </c>
      <c r="C68" t="s">
        <v>15</v>
      </c>
      <c r="D68" t="s">
        <v>326</v>
      </c>
      <c r="E68" t="s">
        <v>327</v>
      </c>
      <c r="F68" t="s">
        <v>48</v>
      </c>
      <c r="G68" t="s">
        <v>153</v>
      </c>
      <c r="H68" t="s">
        <v>328</v>
      </c>
      <c r="I68" t="s">
        <v>15</v>
      </c>
      <c r="J68" t="s">
        <v>21</v>
      </c>
      <c r="K68" t="s">
        <v>22</v>
      </c>
      <c r="L68">
        <f>BDP($H68,"BICS_LEVEL_1_SECTOR_NAME")</f>
        <v/>
      </c>
      <c r="M68">
        <f>BDP($H68,"BICS_LEVEL_3_INDUSTRY_NAME")</f>
        <v/>
      </c>
    </row>
    <row r="69" spans="1:13">
      <c r="A69" t="s">
        <v>329</v>
      </c>
      <c r="B69" t="s">
        <v>14</v>
      </c>
      <c r="C69" t="s">
        <v>15</v>
      </c>
      <c r="D69" t="s">
        <v>330</v>
      </c>
      <c r="E69" t="s">
        <v>331</v>
      </c>
      <c r="F69" t="s">
        <v>48</v>
      </c>
      <c r="G69" t="s">
        <v>198</v>
      </c>
      <c r="H69" t="s">
        <v>332</v>
      </c>
      <c r="I69" t="s">
        <v>15</v>
      </c>
      <c r="J69" t="s">
        <v>21</v>
      </c>
      <c r="K69" t="s">
        <v>22</v>
      </c>
      <c r="L69">
        <f>BDP($H69,"BICS_LEVEL_1_SECTOR_NAME")</f>
        <v/>
      </c>
      <c r="M69">
        <f>BDP($H69,"BICS_LEVEL_3_INDUSTRY_NAME")</f>
        <v/>
      </c>
    </row>
    <row r="70" spans="1:13">
      <c r="A70" t="s">
        <v>333</v>
      </c>
      <c r="B70" t="s">
        <v>14</v>
      </c>
      <c r="C70" t="s">
        <v>15</v>
      </c>
      <c r="D70" t="s">
        <v>334</v>
      </c>
      <c r="E70" t="s">
        <v>335</v>
      </c>
      <c r="F70" t="s">
        <v>26</v>
      </c>
      <c r="G70" t="s">
        <v>37</v>
      </c>
      <c r="H70" t="s">
        <v>336</v>
      </c>
      <c r="I70" t="s">
        <v>15</v>
      </c>
      <c r="J70" t="s">
        <v>21</v>
      </c>
      <c r="K70" t="s">
        <v>22</v>
      </c>
      <c r="L70">
        <f>BDP($H70,"BICS_LEVEL_1_SECTOR_NAME")</f>
        <v/>
      </c>
      <c r="M70">
        <f>BDP($H70,"BICS_LEVEL_3_INDUSTRY_NAME")</f>
        <v/>
      </c>
    </row>
    <row r="71" spans="1:13">
      <c r="A71" t="s">
        <v>337</v>
      </c>
      <c r="B71" t="s">
        <v>14</v>
      </c>
      <c r="C71" t="s">
        <v>15</v>
      </c>
      <c r="D71" t="s">
        <v>338</v>
      </c>
      <c r="E71" t="s">
        <v>339</v>
      </c>
      <c r="F71" t="s">
        <v>42</v>
      </c>
      <c r="G71" t="s">
        <v>91</v>
      </c>
      <c r="H71" t="s">
        <v>340</v>
      </c>
      <c r="I71" t="s">
        <v>15</v>
      </c>
      <c r="J71" t="s">
        <v>21</v>
      </c>
      <c r="K71" t="s">
        <v>22</v>
      </c>
      <c r="L71">
        <f>BDP($H71,"BICS_LEVEL_1_SECTOR_NAME")</f>
        <v/>
      </c>
      <c r="M71">
        <f>BDP($H71,"BICS_LEVEL_3_INDUSTRY_NAME")</f>
        <v/>
      </c>
    </row>
    <row r="72" spans="1:13">
      <c r="A72" t="s">
        <v>341</v>
      </c>
      <c r="B72" t="s">
        <v>14</v>
      </c>
      <c r="C72" t="s">
        <v>15</v>
      </c>
      <c r="D72" t="s">
        <v>342</v>
      </c>
      <c r="E72" t="s">
        <v>343</v>
      </c>
      <c r="F72" t="s">
        <v>18</v>
      </c>
      <c r="G72" t="s">
        <v>344</v>
      </c>
      <c r="H72" t="s">
        <v>345</v>
      </c>
      <c r="I72" t="s">
        <v>15</v>
      </c>
      <c r="J72" t="s">
        <v>21</v>
      </c>
      <c r="K72" t="s">
        <v>22</v>
      </c>
      <c r="L72">
        <f>BDP($H72,"BICS_LEVEL_1_SECTOR_NAME")</f>
        <v/>
      </c>
      <c r="M72">
        <f>BDP($H72,"BICS_LEVEL_3_INDUSTRY_NAME")</f>
        <v/>
      </c>
    </row>
    <row r="73" spans="1:13">
      <c r="A73" t="s">
        <v>346</v>
      </c>
      <c r="B73" t="s">
        <v>14</v>
      </c>
      <c r="C73" t="s">
        <v>15</v>
      </c>
      <c r="D73" t="s">
        <v>347</v>
      </c>
      <c r="E73" t="s">
        <v>348</v>
      </c>
      <c r="F73" t="s">
        <v>48</v>
      </c>
      <c r="G73" t="s">
        <v>349</v>
      </c>
      <c r="H73" t="s">
        <v>350</v>
      </c>
      <c r="I73" t="s">
        <v>15</v>
      </c>
      <c r="J73" t="s">
        <v>21</v>
      </c>
      <c r="K73" t="s">
        <v>22</v>
      </c>
      <c r="L73">
        <f>BDP($H73,"BICS_LEVEL_1_SECTOR_NAME")</f>
        <v/>
      </c>
      <c r="M73">
        <f>BDP($H73,"BICS_LEVEL_3_INDUSTRY_NAME")</f>
        <v/>
      </c>
    </row>
    <row r="74" spans="1:13">
      <c r="A74" t="s">
        <v>351</v>
      </c>
      <c r="B74" t="s">
        <v>14</v>
      </c>
      <c r="C74" t="s">
        <v>15</v>
      </c>
      <c r="D74" t="s">
        <v>352</v>
      </c>
      <c r="E74" t="s">
        <v>353</v>
      </c>
      <c r="F74" t="s">
        <v>207</v>
      </c>
      <c r="G74" t="s">
        <v>208</v>
      </c>
      <c r="H74" t="s">
        <v>354</v>
      </c>
      <c r="I74" t="s">
        <v>15</v>
      </c>
      <c r="J74" t="s">
        <v>21</v>
      </c>
      <c r="K74" t="s">
        <v>22</v>
      </c>
      <c r="L74">
        <f>BDP($H74,"BICS_LEVEL_1_SECTOR_NAME")</f>
        <v/>
      </c>
      <c r="M74">
        <f>BDP($H74,"BICS_LEVEL_3_INDUSTRY_NAME")</f>
        <v/>
      </c>
    </row>
    <row r="75" spans="1:13">
      <c r="A75" t="s">
        <v>355</v>
      </c>
      <c r="B75" t="s">
        <v>14</v>
      </c>
      <c r="C75" t="s">
        <v>15</v>
      </c>
      <c r="D75" t="s">
        <v>356</v>
      </c>
      <c r="E75" t="s">
        <v>357</v>
      </c>
      <c r="F75" t="s">
        <v>18</v>
      </c>
      <c r="G75" t="s">
        <v>188</v>
      </c>
      <c r="H75" t="s">
        <v>358</v>
      </c>
      <c r="I75" t="s">
        <v>15</v>
      </c>
      <c r="J75" t="s">
        <v>21</v>
      </c>
      <c r="K75" t="s">
        <v>22</v>
      </c>
      <c r="L75">
        <f>BDP($H75,"BICS_LEVEL_1_SECTOR_NAME")</f>
        <v/>
      </c>
      <c r="M75">
        <f>BDP($H75,"BICS_LEVEL_3_INDUSTRY_NAME")</f>
        <v/>
      </c>
    </row>
    <row r="76" spans="1:13">
      <c r="A76" t="s">
        <v>359</v>
      </c>
      <c r="B76" t="s">
        <v>14</v>
      </c>
      <c r="C76" t="s">
        <v>15</v>
      </c>
      <c r="D76" t="s">
        <v>360</v>
      </c>
      <c r="E76" t="s">
        <v>361</v>
      </c>
      <c r="F76" t="s">
        <v>26</v>
      </c>
      <c r="G76" t="s">
        <v>37</v>
      </c>
      <c r="H76" t="s">
        <v>362</v>
      </c>
      <c r="I76" t="s">
        <v>15</v>
      </c>
      <c r="J76" t="s">
        <v>21</v>
      </c>
      <c r="K76" t="s">
        <v>22</v>
      </c>
      <c r="L76">
        <f>BDP($H76,"BICS_LEVEL_1_SECTOR_NAME")</f>
        <v/>
      </c>
      <c r="M76">
        <f>BDP($H76,"BICS_LEVEL_3_INDUSTRY_NAME")</f>
        <v/>
      </c>
    </row>
    <row r="77" spans="1:13">
      <c r="A77" t="s">
        <v>363</v>
      </c>
      <c r="B77" t="s">
        <v>14</v>
      </c>
      <c r="C77" t="s">
        <v>15</v>
      </c>
      <c r="D77" t="s">
        <v>364</v>
      </c>
      <c r="E77" t="s">
        <v>365</v>
      </c>
      <c r="F77" t="s">
        <v>18</v>
      </c>
      <c r="G77" t="s">
        <v>366</v>
      </c>
      <c r="H77" t="s">
        <v>367</v>
      </c>
      <c r="I77" t="s">
        <v>15</v>
      </c>
      <c r="J77" t="s">
        <v>21</v>
      </c>
      <c r="K77" t="s">
        <v>22</v>
      </c>
      <c r="L77">
        <f>BDP($H77,"BICS_LEVEL_1_SECTOR_NAME")</f>
        <v/>
      </c>
      <c r="M77">
        <f>BDP($H77,"BICS_LEVEL_3_INDUSTRY_NAME")</f>
        <v/>
      </c>
    </row>
    <row r="78" spans="1:13">
      <c r="A78" t="s">
        <v>368</v>
      </c>
      <c r="B78" t="s">
        <v>14</v>
      </c>
      <c r="C78" t="s">
        <v>15</v>
      </c>
      <c r="D78" t="s">
        <v>369</v>
      </c>
      <c r="E78" t="s">
        <v>370</v>
      </c>
      <c r="F78" t="s">
        <v>26</v>
      </c>
      <c r="G78" t="s">
        <v>239</v>
      </c>
      <c r="H78" t="s">
        <v>371</v>
      </c>
      <c r="I78" t="s">
        <v>15</v>
      </c>
      <c r="J78" t="s">
        <v>21</v>
      </c>
      <c r="K78" t="s">
        <v>22</v>
      </c>
      <c r="L78">
        <f>BDP($H78,"BICS_LEVEL_1_SECTOR_NAME")</f>
        <v/>
      </c>
      <c r="M78">
        <f>BDP($H78,"BICS_LEVEL_3_INDUSTRY_NAME")</f>
        <v/>
      </c>
    </row>
    <row r="79" spans="1:13">
      <c r="A79" t="s">
        <v>372</v>
      </c>
      <c r="B79" t="s">
        <v>14</v>
      </c>
      <c r="C79" t="s">
        <v>15</v>
      </c>
      <c r="D79" t="s">
        <v>373</v>
      </c>
      <c r="E79" t="s">
        <v>374</v>
      </c>
      <c r="F79" t="s">
        <v>18</v>
      </c>
      <c r="G79" t="s">
        <v>375</v>
      </c>
      <c r="H79" t="s">
        <v>376</v>
      </c>
      <c r="I79" t="s">
        <v>15</v>
      </c>
      <c r="J79" t="s">
        <v>21</v>
      </c>
      <c r="K79" t="s">
        <v>22</v>
      </c>
      <c r="L79">
        <f>BDP($H79,"BICS_LEVEL_1_SECTOR_NAME")</f>
        <v/>
      </c>
      <c r="M79">
        <f>BDP($H79,"BICS_LEVEL_3_INDUSTRY_NAME")</f>
        <v/>
      </c>
    </row>
    <row r="80" spans="1:13">
      <c r="A80" t="s">
        <v>377</v>
      </c>
      <c r="B80" t="s">
        <v>14</v>
      </c>
      <c r="C80" t="s">
        <v>15</v>
      </c>
      <c r="D80" t="s">
        <v>378</v>
      </c>
      <c r="E80" t="s">
        <v>379</v>
      </c>
      <c r="F80" t="s">
        <v>26</v>
      </c>
      <c r="G80" t="s">
        <v>37</v>
      </c>
      <c r="H80" t="s">
        <v>380</v>
      </c>
      <c r="I80" t="s">
        <v>15</v>
      </c>
      <c r="J80" t="s">
        <v>21</v>
      </c>
      <c r="K80" t="s">
        <v>22</v>
      </c>
      <c r="L80">
        <f>BDP($H80,"BICS_LEVEL_1_SECTOR_NAME")</f>
        <v/>
      </c>
      <c r="M80">
        <f>BDP($H80,"BICS_LEVEL_3_INDUSTRY_NAME")</f>
        <v/>
      </c>
    </row>
    <row r="81" spans="1:13">
      <c r="A81" t="s">
        <v>381</v>
      </c>
      <c r="B81" t="s">
        <v>14</v>
      </c>
      <c r="C81" t="s">
        <v>15</v>
      </c>
      <c r="D81" t="s">
        <v>382</v>
      </c>
      <c r="E81" t="s">
        <v>383</v>
      </c>
      <c r="F81" t="s">
        <v>26</v>
      </c>
      <c r="G81" t="s">
        <v>37</v>
      </c>
      <c r="H81" t="s">
        <v>384</v>
      </c>
      <c r="I81" t="s">
        <v>15</v>
      </c>
      <c r="J81" t="s">
        <v>21</v>
      </c>
      <c r="K81" t="s">
        <v>22</v>
      </c>
      <c r="L81">
        <f>BDP($H81,"BICS_LEVEL_1_SECTOR_NAME")</f>
        <v/>
      </c>
      <c r="M81">
        <f>BDP($H81,"BICS_LEVEL_3_INDUSTRY_NAME")</f>
        <v/>
      </c>
    </row>
    <row r="82" spans="1:13">
      <c r="A82" t="s">
        <v>385</v>
      </c>
      <c r="B82" t="s">
        <v>14</v>
      </c>
      <c r="C82" t="s">
        <v>15</v>
      </c>
      <c r="D82" t="s">
        <v>386</v>
      </c>
      <c r="E82" t="s">
        <v>387</v>
      </c>
      <c r="F82" t="s">
        <v>42</v>
      </c>
      <c r="G82" t="s">
        <v>58</v>
      </c>
      <c r="H82" t="s">
        <v>388</v>
      </c>
      <c r="I82" t="s">
        <v>15</v>
      </c>
      <c r="J82" t="s">
        <v>21</v>
      </c>
      <c r="K82" t="s">
        <v>22</v>
      </c>
      <c r="L82">
        <f>BDP($H82,"BICS_LEVEL_1_SECTOR_NAME")</f>
        <v/>
      </c>
      <c r="M82">
        <f>BDP($H82,"BICS_LEVEL_3_INDUSTRY_NAME")</f>
        <v/>
      </c>
    </row>
    <row r="83" spans="1:13">
      <c r="A83" t="s">
        <v>389</v>
      </c>
      <c r="B83" t="s">
        <v>14</v>
      </c>
      <c r="C83" t="s">
        <v>15</v>
      </c>
      <c r="D83" t="s">
        <v>390</v>
      </c>
      <c r="E83" t="s">
        <v>391</v>
      </c>
      <c r="F83" t="s">
        <v>392</v>
      </c>
      <c r="G83" t="s">
        <v>393</v>
      </c>
      <c r="H83" t="s">
        <v>394</v>
      </c>
      <c r="I83" t="s">
        <v>15</v>
      </c>
      <c r="J83" t="s">
        <v>21</v>
      </c>
      <c r="K83" t="s">
        <v>22</v>
      </c>
      <c r="L83">
        <f>BDP($H83,"BICS_LEVEL_1_SECTOR_NAME")</f>
        <v/>
      </c>
      <c r="M83">
        <f>BDP($H83,"BICS_LEVEL_3_INDUSTRY_NAME")</f>
        <v/>
      </c>
    </row>
    <row r="84" spans="1:13">
      <c r="A84" t="s">
        <v>395</v>
      </c>
      <c r="B84" t="s">
        <v>14</v>
      </c>
      <c r="C84" t="s">
        <v>15</v>
      </c>
      <c r="D84" t="s">
        <v>396</v>
      </c>
      <c r="E84" t="s">
        <v>397</v>
      </c>
      <c r="F84" t="s">
        <v>26</v>
      </c>
      <c r="G84" t="s">
        <v>134</v>
      </c>
      <c r="H84" t="s">
        <v>398</v>
      </c>
      <c r="I84" t="s">
        <v>15</v>
      </c>
      <c r="J84" t="s">
        <v>21</v>
      </c>
      <c r="K84" t="s">
        <v>22</v>
      </c>
      <c r="L84">
        <f>BDP($H84,"BICS_LEVEL_1_SECTOR_NAME")</f>
        <v/>
      </c>
      <c r="M84">
        <f>BDP($H84,"BICS_LEVEL_3_INDUSTRY_NAME")</f>
        <v/>
      </c>
    </row>
    <row r="85" spans="1:13">
      <c r="A85" t="s">
        <v>399</v>
      </c>
      <c r="B85" t="s">
        <v>14</v>
      </c>
      <c r="C85" t="s">
        <v>15</v>
      </c>
      <c r="D85" t="s">
        <v>400</v>
      </c>
      <c r="E85" t="s">
        <v>401</v>
      </c>
      <c r="F85" t="s">
        <v>18</v>
      </c>
      <c r="G85" t="s">
        <v>402</v>
      </c>
      <c r="H85" t="s">
        <v>403</v>
      </c>
      <c r="I85" t="s">
        <v>15</v>
      </c>
      <c r="J85" t="s">
        <v>21</v>
      </c>
      <c r="K85" t="s">
        <v>22</v>
      </c>
      <c r="L85">
        <f>BDP($H85,"BICS_LEVEL_1_SECTOR_NAME")</f>
        <v/>
      </c>
      <c r="M85">
        <f>BDP($H85,"BICS_LEVEL_3_INDUSTRY_NAME")</f>
        <v/>
      </c>
    </row>
    <row r="86" spans="1:13">
      <c r="A86" t="s">
        <v>404</v>
      </c>
      <c r="B86" t="s">
        <v>14</v>
      </c>
      <c r="C86" t="s">
        <v>15</v>
      </c>
      <c r="D86" t="s">
        <v>405</v>
      </c>
      <c r="E86" t="s">
        <v>406</v>
      </c>
      <c r="F86" t="s">
        <v>48</v>
      </c>
      <c r="G86" t="s">
        <v>224</v>
      </c>
      <c r="H86" t="s">
        <v>407</v>
      </c>
      <c r="I86" t="s">
        <v>15</v>
      </c>
      <c r="J86" t="s">
        <v>21</v>
      </c>
      <c r="K86" t="s">
        <v>22</v>
      </c>
      <c r="L86">
        <f>BDP($H86,"BICS_LEVEL_1_SECTOR_NAME")</f>
        <v/>
      </c>
      <c r="M86">
        <f>BDP($H86,"BICS_LEVEL_3_INDUSTRY_NAME")</f>
        <v/>
      </c>
    </row>
    <row r="87" spans="1:13">
      <c r="A87" t="s">
        <v>408</v>
      </c>
      <c r="B87" t="s">
        <v>14</v>
      </c>
      <c r="C87" t="s">
        <v>15</v>
      </c>
      <c r="D87" t="s">
        <v>409</v>
      </c>
      <c r="E87" t="s">
        <v>410</v>
      </c>
      <c r="F87" t="s">
        <v>48</v>
      </c>
      <c r="G87" t="s">
        <v>153</v>
      </c>
      <c r="H87" t="s">
        <v>411</v>
      </c>
      <c r="I87" t="s">
        <v>15</v>
      </c>
      <c r="J87" t="s">
        <v>21</v>
      </c>
      <c r="K87" t="s">
        <v>22</v>
      </c>
      <c r="L87">
        <f>BDP($H87,"BICS_LEVEL_1_SECTOR_NAME")</f>
        <v/>
      </c>
      <c r="M87">
        <f>BDP($H87,"BICS_LEVEL_3_INDUSTRY_NAME")</f>
        <v/>
      </c>
    </row>
    <row r="88" spans="1:13">
      <c r="A88" t="s">
        <v>412</v>
      </c>
      <c r="B88" t="s">
        <v>14</v>
      </c>
      <c r="C88" t="s">
        <v>15</v>
      </c>
      <c r="D88" t="s">
        <v>413</v>
      </c>
      <c r="E88" t="s">
        <v>414</v>
      </c>
      <c r="F88" t="s">
        <v>42</v>
      </c>
      <c r="G88" t="s">
        <v>415</v>
      </c>
      <c r="H88" t="s">
        <v>416</v>
      </c>
      <c r="I88" t="s">
        <v>15</v>
      </c>
      <c r="J88" t="s">
        <v>21</v>
      </c>
      <c r="K88" t="s">
        <v>22</v>
      </c>
      <c r="L88">
        <f>BDP($H88,"BICS_LEVEL_1_SECTOR_NAME")</f>
        <v/>
      </c>
      <c r="M88">
        <f>BDP($H88,"BICS_LEVEL_3_INDUSTRY_NAME")</f>
        <v/>
      </c>
    </row>
    <row r="89" spans="1:13">
      <c r="A89" t="s">
        <v>417</v>
      </c>
      <c r="B89" t="s">
        <v>14</v>
      </c>
      <c r="C89" t="s">
        <v>15</v>
      </c>
      <c r="D89" t="s">
        <v>418</v>
      </c>
      <c r="E89" t="s">
        <v>419</v>
      </c>
      <c r="F89" t="s">
        <v>42</v>
      </c>
      <c r="G89" t="s">
        <v>415</v>
      </c>
      <c r="H89" t="s">
        <v>420</v>
      </c>
      <c r="I89" t="s">
        <v>15</v>
      </c>
      <c r="J89" t="s">
        <v>21</v>
      </c>
      <c r="K89" t="s">
        <v>22</v>
      </c>
      <c r="L89">
        <f>BDP($H89,"BICS_LEVEL_1_SECTOR_NAME")</f>
        <v/>
      </c>
      <c r="M89">
        <f>BDP($H89,"BICS_LEVEL_3_INDUSTRY_NAME")</f>
        <v/>
      </c>
    </row>
    <row r="90" spans="1:13">
      <c r="A90" t="s">
        <v>421</v>
      </c>
      <c r="B90" t="s">
        <v>14</v>
      </c>
      <c r="C90" t="s">
        <v>15</v>
      </c>
      <c r="D90" t="s">
        <v>422</v>
      </c>
      <c r="E90" t="s">
        <v>423</v>
      </c>
      <c r="F90" t="s">
        <v>26</v>
      </c>
      <c r="G90" t="s">
        <v>37</v>
      </c>
      <c r="H90" t="s">
        <v>424</v>
      </c>
      <c r="I90" t="s">
        <v>15</v>
      </c>
      <c r="J90" t="s">
        <v>21</v>
      </c>
      <c r="K90" t="s">
        <v>22</v>
      </c>
      <c r="L90">
        <f>BDP($H90,"BICS_LEVEL_1_SECTOR_NAME")</f>
        <v/>
      </c>
      <c r="M90">
        <f>BDP($H90,"BICS_LEVEL_3_INDUSTRY_NAME")</f>
        <v/>
      </c>
    </row>
    <row r="91" spans="1:13">
      <c r="A91" t="s">
        <v>425</v>
      </c>
      <c r="B91" t="s">
        <v>14</v>
      </c>
      <c r="C91" t="s">
        <v>15</v>
      </c>
      <c r="D91" t="s">
        <v>426</v>
      </c>
      <c r="E91" t="s">
        <v>427</v>
      </c>
      <c r="F91" t="s">
        <v>26</v>
      </c>
      <c r="G91" t="s">
        <v>37</v>
      </c>
      <c r="H91" t="s">
        <v>428</v>
      </c>
      <c r="I91" t="s">
        <v>15</v>
      </c>
      <c r="J91" t="s">
        <v>21</v>
      </c>
      <c r="K91" t="s">
        <v>22</v>
      </c>
      <c r="L91">
        <f>BDP($H91,"BICS_LEVEL_1_SECTOR_NAME")</f>
        <v/>
      </c>
      <c r="M91">
        <f>BDP($H91,"BICS_LEVEL_3_INDUSTRY_NAME")</f>
        <v/>
      </c>
    </row>
    <row r="92" spans="1:13">
      <c r="A92" t="s">
        <v>429</v>
      </c>
      <c r="B92" t="s">
        <v>14</v>
      </c>
      <c r="C92" t="s">
        <v>15</v>
      </c>
      <c r="D92" t="s">
        <v>430</v>
      </c>
      <c r="E92" t="s">
        <v>431</v>
      </c>
      <c r="F92" t="s">
        <v>26</v>
      </c>
      <c r="G92" t="s">
        <v>37</v>
      </c>
      <c r="H92" t="s">
        <v>432</v>
      </c>
      <c r="I92" t="s">
        <v>15</v>
      </c>
      <c r="J92" t="s">
        <v>21</v>
      </c>
      <c r="K92" t="s">
        <v>22</v>
      </c>
      <c r="L92">
        <f>BDP($H92,"BICS_LEVEL_1_SECTOR_NAME")</f>
        <v/>
      </c>
      <c r="M92">
        <f>BDP($H92,"BICS_LEVEL_3_INDUSTRY_NAME")</f>
        <v/>
      </c>
    </row>
    <row r="93" spans="1:13">
      <c r="A93" t="s">
        <v>433</v>
      </c>
      <c r="B93" t="s">
        <v>14</v>
      </c>
      <c r="C93" t="s">
        <v>15</v>
      </c>
      <c r="D93" t="s">
        <v>434</v>
      </c>
      <c r="E93" t="s">
        <v>435</v>
      </c>
      <c r="F93" t="s">
        <v>26</v>
      </c>
      <c r="G93" t="s">
        <v>37</v>
      </c>
      <c r="H93" t="s">
        <v>436</v>
      </c>
      <c r="I93" t="s">
        <v>15</v>
      </c>
      <c r="J93" t="s">
        <v>21</v>
      </c>
      <c r="K93" t="s">
        <v>22</v>
      </c>
      <c r="L93">
        <f>BDP($H93,"BICS_LEVEL_1_SECTOR_NAME")</f>
        <v/>
      </c>
      <c r="M93">
        <f>BDP($H93,"BICS_LEVEL_3_INDUSTRY_NAME")</f>
        <v/>
      </c>
    </row>
    <row r="94" spans="1:13">
      <c r="A94" t="s">
        <v>437</v>
      </c>
      <c r="B94" t="s">
        <v>14</v>
      </c>
      <c r="C94" t="s">
        <v>15</v>
      </c>
      <c r="D94" t="s">
        <v>438</v>
      </c>
      <c r="E94" t="s">
        <v>439</v>
      </c>
      <c r="F94" t="s">
        <v>42</v>
      </c>
      <c r="G94" t="s">
        <v>91</v>
      </c>
      <c r="H94" t="s">
        <v>440</v>
      </c>
      <c r="I94" t="s">
        <v>15</v>
      </c>
      <c r="J94" t="s">
        <v>21</v>
      </c>
      <c r="K94" t="s">
        <v>22</v>
      </c>
      <c r="L94">
        <f>BDP($H94,"BICS_LEVEL_1_SECTOR_NAME")</f>
        <v/>
      </c>
      <c r="M94">
        <f>BDP($H94,"BICS_LEVEL_3_INDUSTRY_NAME")</f>
        <v/>
      </c>
    </row>
    <row r="95" spans="1:13">
      <c r="A95" t="s">
        <v>441</v>
      </c>
      <c r="B95" t="s">
        <v>14</v>
      </c>
      <c r="C95" t="s">
        <v>15</v>
      </c>
      <c r="D95" t="s">
        <v>442</v>
      </c>
      <c r="E95" t="s">
        <v>443</v>
      </c>
      <c r="F95" t="s">
        <v>207</v>
      </c>
      <c r="G95" t="s">
        <v>248</v>
      </c>
      <c r="H95" t="s">
        <v>444</v>
      </c>
      <c r="I95" t="s">
        <v>15</v>
      </c>
      <c r="J95" t="s">
        <v>21</v>
      </c>
      <c r="K95" t="s">
        <v>22</v>
      </c>
      <c r="L95">
        <f>BDP($H95,"BICS_LEVEL_1_SECTOR_NAME")</f>
        <v/>
      </c>
      <c r="M95">
        <f>BDP($H95,"BICS_LEVEL_3_INDUSTRY_NAME")</f>
        <v/>
      </c>
    </row>
    <row r="96" spans="1:13">
      <c r="A96" t="s">
        <v>445</v>
      </c>
      <c r="B96" t="s">
        <v>14</v>
      </c>
      <c r="C96" t="s">
        <v>15</v>
      </c>
      <c r="D96" t="s">
        <v>446</v>
      </c>
      <c r="E96" t="s">
        <v>447</v>
      </c>
      <c r="F96" t="s">
        <v>26</v>
      </c>
      <c r="G96" t="s">
        <v>37</v>
      </c>
      <c r="H96" t="s">
        <v>448</v>
      </c>
      <c r="I96" t="s">
        <v>15</v>
      </c>
      <c r="J96" t="s">
        <v>21</v>
      </c>
      <c r="K96" t="s">
        <v>22</v>
      </c>
      <c r="L96">
        <f>BDP($H96,"BICS_LEVEL_1_SECTOR_NAME")</f>
        <v/>
      </c>
      <c r="M96">
        <f>BDP($H96,"BICS_LEVEL_3_INDUSTRY_NAME")</f>
        <v/>
      </c>
    </row>
    <row r="97" spans="1:13">
      <c r="A97" t="s">
        <v>449</v>
      </c>
      <c r="B97" t="s">
        <v>14</v>
      </c>
      <c r="C97" t="s">
        <v>15</v>
      </c>
      <c r="D97" t="s">
        <v>450</v>
      </c>
      <c r="E97" t="s">
        <v>451</v>
      </c>
      <c r="F97" t="s">
        <v>26</v>
      </c>
      <c r="G97" t="s">
        <v>37</v>
      </c>
      <c r="H97" t="s">
        <v>452</v>
      </c>
      <c r="I97" t="s">
        <v>15</v>
      </c>
      <c r="J97" t="s">
        <v>21</v>
      </c>
      <c r="K97" t="s">
        <v>22</v>
      </c>
      <c r="L97">
        <f>BDP($H97,"BICS_LEVEL_1_SECTOR_NAME")</f>
        <v/>
      </c>
      <c r="M97">
        <f>BDP($H97,"BICS_LEVEL_3_INDUSTRY_NAME")</f>
        <v/>
      </c>
    </row>
    <row r="98" spans="1:13">
      <c r="A98" t="s">
        <v>453</v>
      </c>
      <c r="B98" t="s">
        <v>14</v>
      </c>
      <c r="C98" t="s">
        <v>15</v>
      </c>
      <c r="D98" t="s">
        <v>454</v>
      </c>
      <c r="E98" t="s">
        <v>455</v>
      </c>
      <c r="F98" t="s">
        <v>18</v>
      </c>
      <c r="G98" t="s">
        <v>188</v>
      </c>
      <c r="H98" t="s">
        <v>456</v>
      </c>
      <c r="I98" t="s">
        <v>15</v>
      </c>
      <c r="J98" t="s">
        <v>21</v>
      </c>
      <c r="K98" t="s">
        <v>22</v>
      </c>
      <c r="L98">
        <f>BDP($H98,"BICS_LEVEL_1_SECTOR_NAME")</f>
        <v/>
      </c>
      <c r="M98">
        <f>BDP($H98,"BICS_LEVEL_3_INDUSTRY_NAME")</f>
        <v/>
      </c>
    </row>
    <row r="99" spans="1:13">
      <c r="A99" t="s">
        <v>457</v>
      </c>
      <c r="B99" t="s">
        <v>14</v>
      </c>
      <c r="C99" t="s">
        <v>15</v>
      </c>
      <c r="D99" t="s">
        <v>458</v>
      </c>
      <c r="E99" t="s">
        <v>459</v>
      </c>
      <c r="F99" t="s">
        <v>42</v>
      </c>
      <c r="G99" t="s">
        <v>43</v>
      </c>
      <c r="H99" t="s">
        <v>460</v>
      </c>
      <c r="I99" t="s">
        <v>15</v>
      </c>
      <c r="J99" t="s">
        <v>21</v>
      </c>
      <c r="K99" t="s">
        <v>22</v>
      </c>
      <c r="L99">
        <f>BDP($H99,"BICS_LEVEL_1_SECTOR_NAME")</f>
        <v/>
      </c>
      <c r="M99">
        <f>BDP($H99,"BICS_LEVEL_3_INDUSTRY_NAME")</f>
        <v/>
      </c>
    </row>
    <row r="100" spans="1:13">
      <c r="A100" t="s">
        <v>461</v>
      </c>
      <c r="B100" t="s">
        <v>14</v>
      </c>
      <c r="C100" t="s">
        <v>15</v>
      </c>
      <c r="D100" t="s">
        <v>462</v>
      </c>
      <c r="E100" t="s">
        <v>463</v>
      </c>
      <c r="F100" t="s">
        <v>18</v>
      </c>
      <c r="G100" t="s">
        <v>464</v>
      </c>
      <c r="H100" t="s">
        <v>465</v>
      </c>
      <c r="I100" t="s">
        <v>15</v>
      </c>
      <c r="J100" t="s">
        <v>21</v>
      </c>
      <c r="K100" t="s">
        <v>22</v>
      </c>
      <c r="L100">
        <f>BDP($H100,"BICS_LEVEL_1_SECTOR_NAME")</f>
        <v/>
      </c>
      <c r="M100">
        <f>BDP($H100,"BICS_LEVEL_3_INDUSTRY_NAME")</f>
        <v/>
      </c>
    </row>
    <row r="101" spans="1:13">
      <c r="A101" t="s">
        <v>466</v>
      </c>
      <c r="B101" t="s">
        <v>14</v>
      </c>
      <c r="C101" t="s">
        <v>15</v>
      </c>
      <c r="D101" t="s">
        <v>467</v>
      </c>
      <c r="E101" t="s">
        <v>468</v>
      </c>
      <c r="F101" t="s">
        <v>18</v>
      </c>
      <c r="G101" t="s">
        <v>261</v>
      </c>
      <c r="H101" t="s">
        <v>469</v>
      </c>
      <c r="I101" t="s">
        <v>15</v>
      </c>
      <c r="J101" t="s">
        <v>21</v>
      </c>
      <c r="K101" t="s">
        <v>22</v>
      </c>
      <c r="L101">
        <f>BDP($H101,"BICS_LEVEL_1_SECTOR_NAME")</f>
        <v/>
      </c>
      <c r="M101">
        <f>BDP($H101,"BICS_LEVEL_3_INDUSTRY_NAME")</f>
        <v/>
      </c>
    </row>
    <row r="102" spans="1:13">
      <c r="A102" t="s">
        <v>470</v>
      </c>
      <c r="B102" t="s">
        <v>14</v>
      </c>
      <c r="C102" t="s">
        <v>15</v>
      </c>
      <c r="D102" t="s">
        <v>471</v>
      </c>
      <c r="E102" t="s">
        <v>472</v>
      </c>
      <c r="F102" t="s">
        <v>18</v>
      </c>
      <c r="G102" t="s">
        <v>19</v>
      </c>
      <c r="H102" t="s">
        <v>473</v>
      </c>
      <c r="I102" t="s">
        <v>15</v>
      </c>
      <c r="J102" t="s">
        <v>21</v>
      </c>
      <c r="K102" t="s">
        <v>22</v>
      </c>
      <c r="L102">
        <f>BDP($H102,"BICS_LEVEL_1_SECTOR_NAME")</f>
        <v/>
      </c>
      <c r="M102">
        <f>BDP($H102,"BICS_LEVEL_3_INDUSTRY_NAME")</f>
        <v/>
      </c>
    </row>
    <row r="103" spans="1:13">
      <c r="A103" t="s">
        <v>474</v>
      </c>
      <c r="B103" t="s">
        <v>14</v>
      </c>
      <c r="C103" t="s">
        <v>15</v>
      </c>
      <c r="D103" t="s">
        <v>475</v>
      </c>
      <c r="E103" t="s">
        <v>476</v>
      </c>
      <c r="F103" t="s">
        <v>213</v>
      </c>
      <c r="G103" t="s">
        <v>477</v>
      </c>
      <c r="H103" t="s">
        <v>478</v>
      </c>
      <c r="I103" t="s">
        <v>15</v>
      </c>
      <c r="J103" t="s">
        <v>21</v>
      </c>
      <c r="K103" t="s">
        <v>22</v>
      </c>
      <c r="L103">
        <f>BDP($H103,"BICS_LEVEL_1_SECTOR_NAME")</f>
        <v/>
      </c>
      <c r="M103">
        <f>BDP($H103,"BICS_LEVEL_3_INDUSTRY_NAME")</f>
        <v/>
      </c>
    </row>
    <row r="104" spans="1:13">
      <c r="A104" t="s">
        <v>479</v>
      </c>
      <c r="B104" t="s">
        <v>14</v>
      </c>
      <c r="C104" t="s">
        <v>15</v>
      </c>
      <c r="D104" t="s">
        <v>480</v>
      </c>
      <c r="E104" t="s">
        <v>481</v>
      </c>
      <c r="F104" t="s">
        <v>48</v>
      </c>
      <c r="G104" t="s">
        <v>482</v>
      </c>
      <c r="H104" t="s">
        <v>483</v>
      </c>
      <c r="I104" t="s">
        <v>15</v>
      </c>
      <c r="J104" t="s">
        <v>21</v>
      </c>
      <c r="K104" t="s">
        <v>22</v>
      </c>
      <c r="L104">
        <f>BDP($H104,"BICS_LEVEL_1_SECTOR_NAME")</f>
        <v/>
      </c>
      <c r="M104">
        <f>BDP($H104,"BICS_LEVEL_3_INDUSTRY_NAME")</f>
        <v/>
      </c>
    </row>
    <row r="105" spans="1:13">
      <c r="A105" t="s">
        <v>484</v>
      </c>
      <c r="B105" t="s">
        <v>14</v>
      </c>
      <c r="C105" t="s">
        <v>15</v>
      </c>
      <c r="D105" t="s">
        <v>485</v>
      </c>
      <c r="E105" t="s">
        <v>486</v>
      </c>
      <c r="F105" t="s">
        <v>18</v>
      </c>
      <c r="G105" t="s">
        <v>19</v>
      </c>
      <c r="H105" t="s">
        <v>487</v>
      </c>
      <c r="I105" t="s">
        <v>15</v>
      </c>
      <c r="J105" t="s">
        <v>21</v>
      </c>
      <c r="K105" t="s">
        <v>22</v>
      </c>
      <c r="L105">
        <f>BDP($H105,"BICS_LEVEL_1_SECTOR_NAME")</f>
        <v/>
      </c>
      <c r="M105">
        <f>BDP($H105,"BICS_LEVEL_3_INDUSTRY_NAME")</f>
        <v/>
      </c>
    </row>
    <row r="106" spans="1:13">
      <c r="A106" t="s">
        <v>488</v>
      </c>
      <c r="B106" t="s">
        <v>14</v>
      </c>
      <c r="C106" t="s">
        <v>15</v>
      </c>
      <c r="D106" t="s">
        <v>489</v>
      </c>
      <c r="E106" t="s">
        <v>490</v>
      </c>
      <c r="F106" t="s">
        <v>48</v>
      </c>
      <c r="G106" t="s">
        <v>491</v>
      </c>
      <c r="H106" t="s">
        <v>492</v>
      </c>
      <c r="I106" t="s">
        <v>15</v>
      </c>
      <c r="J106" t="s">
        <v>21</v>
      </c>
      <c r="K106" t="s">
        <v>22</v>
      </c>
      <c r="L106">
        <f>BDP($H106,"BICS_LEVEL_1_SECTOR_NAME")</f>
        <v/>
      </c>
      <c r="M106">
        <f>BDP($H106,"BICS_LEVEL_3_INDUSTRY_NAME")</f>
        <v/>
      </c>
    </row>
    <row r="107" spans="1:13">
      <c r="A107" t="s">
        <v>493</v>
      </c>
      <c r="B107" t="s">
        <v>14</v>
      </c>
      <c r="C107" t="s">
        <v>15</v>
      </c>
      <c r="D107" t="s">
        <v>494</v>
      </c>
      <c r="E107" t="s">
        <v>495</v>
      </c>
      <c r="F107" t="s">
        <v>48</v>
      </c>
      <c r="G107" t="s">
        <v>224</v>
      </c>
      <c r="H107" t="s">
        <v>496</v>
      </c>
      <c r="I107" t="s">
        <v>15</v>
      </c>
      <c r="J107" t="s">
        <v>21</v>
      </c>
      <c r="K107" t="s">
        <v>22</v>
      </c>
      <c r="L107">
        <f>BDP($H107,"BICS_LEVEL_1_SECTOR_NAME")</f>
        <v/>
      </c>
      <c r="M107">
        <f>BDP($H107,"BICS_LEVEL_3_INDUSTRY_NAME")</f>
        <v/>
      </c>
    </row>
    <row r="108" spans="1:13">
      <c r="A108" t="s">
        <v>497</v>
      </c>
      <c r="B108" t="s">
        <v>14</v>
      </c>
      <c r="C108" t="s">
        <v>15</v>
      </c>
      <c r="D108" t="s">
        <v>498</v>
      </c>
      <c r="E108" t="s">
        <v>499</v>
      </c>
      <c r="F108" t="s">
        <v>42</v>
      </c>
      <c r="G108" t="s">
        <v>43</v>
      </c>
      <c r="H108" t="s">
        <v>500</v>
      </c>
      <c r="I108" t="s">
        <v>15</v>
      </c>
      <c r="J108" t="s">
        <v>21</v>
      </c>
      <c r="K108" t="s">
        <v>22</v>
      </c>
      <c r="L108">
        <f>BDP($H108,"BICS_LEVEL_1_SECTOR_NAME")</f>
        <v/>
      </c>
      <c r="M108">
        <f>BDP($H108,"BICS_LEVEL_3_INDUSTRY_NAME")</f>
        <v/>
      </c>
    </row>
    <row r="109" spans="1:13">
      <c r="A109" t="s">
        <v>501</v>
      </c>
      <c r="B109" t="s">
        <v>14</v>
      </c>
      <c r="C109" t="s">
        <v>15</v>
      </c>
      <c r="D109" t="s">
        <v>502</v>
      </c>
      <c r="E109" t="s">
        <v>503</v>
      </c>
      <c r="F109" t="s">
        <v>18</v>
      </c>
      <c r="G109" t="s">
        <v>32</v>
      </c>
      <c r="H109" t="s">
        <v>504</v>
      </c>
      <c r="I109" t="s">
        <v>15</v>
      </c>
      <c r="J109" t="s">
        <v>21</v>
      </c>
      <c r="K109" t="s">
        <v>22</v>
      </c>
      <c r="L109">
        <f>BDP($H109,"BICS_LEVEL_1_SECTOR_NAME")</f>
        <v/>
      </c>
      <c r="M109">
        <f>BDP($H109,"BICS_LEVEL_3_INDUSTRY_NAME")</f>
        <v/>
      </c>
    </row>
    <row r="110" spans="1:13">
      <c r="A110" t="s">
        <v>505</v>
      </c>
      <c r="B110" t="s">
        <v>14</v>
      </c>
      <c r="C110" t="s">
        <v>15</v>
      </c>
      <c r="D110" t="s">
        <v>506</v>
      </c>
      <c r="E110" t="s">
        <v>507</v>
      </c>
      <c r="F110" t="s">
        <v>48</v>
      </c>
      <c r="G110" t="s">
        <v>508</v>
      </c>
      <c r="H110" t="s">
        <v>509</v>
      </c>
      <c r="I110" t="s">
        <v>15</v>
      </c>
      <c r="J110" t="s">
        <v>21</v>
      </c>
      <c r="K110" t="s">
        <v>22</v>
      </c>
      <c r="L110">
        <f>BDP($H110,"BICS_LEVEL_1_SECTOR_NAME")</f>
        <v/>
      </c>
      <c r="M110">
        <f>BDP($H110,"BICS_LEVEL_3_INDUSTRY_NAME")</f>
        <v/>
      </c>
    </row>
    <row r="111" spans="1:13">
      <c r="A111" t="s">
        <v>510</v>
      </c>
      <c r="B111" t="s">
        <v>14</v>
      </c>
      <c r="C111" t="s">
        <v>15</v>
      </c>
      <c r="D111" t="s">
        <v>511</v>
      </c>
      <c r="E111" t="s">
        <v>512</v>
      </c>
      <c r="F111" t="s">
        <v>26</v>
      </c>
      <c r="G111" t="s">
        <v>37</v>
      </c>
      <c r="H111" t="s">
        <v>513</v>
      </c>
      <c r="I111" t="s">
        <v>15</v>
      </c>
      <c r="J111" t="s">
        <v>21</v>
      </c>
      <c r="K111" t="s">
        <v>22</v>
      </c>
      <c r="L111">
        <f>BDP($H111,"BICS_LEVEL_1_SECTOR_NAME")</f>
        <v/>
      </c>
      <c r="M111">
        <f>BDP($H111,"BICS_LEVEL_3_INDUSTRY_NAME")</f>
        <v/>
      </c>
    </row>
    <row r="112" spans="1:13">
      <c r="A112" t="s">
        <v>514</v>
      </c>
      <c r="B112" t="s">
        <v>14</v>
      </c>
      <c r="C112" t="s">
        <v>15</v>
      </c>
      <c r="D112" t="s">
        <v>515</v>
      </c>
      <c r="E112" t="s">
        <v>516</v>
      </c>
      <c r="F112" t="s">
        <v>18</v>
      </c>
      <c r="G112" t="s">
        <v>19</v>
      </c>
      <c r="H112" t="s">
        <v>517</v>
      </c>
      <c r="I112" t="s">
        <v>15</v>
      </c>
      <c r="J112" t="s">
        <v>21</v>
      </c>
      <c r="K112" t="s">
        <v>22</v>
      </c>
      <c r="L112">
        <f>BDP($H112,"BICS_LEVEL_1_SECTOR_NAME")</f>
        <v/>
      </c>
      <c r="M112">
        <f>BDP($H112,"BICS_LEVEL_3_INDUSTRY_NAME")</f>
        <v/>
      </c>
    </row>
    <row r="113" spans="1:13">
      <c r="A113" t="s">
        <v>518</v>
      </c>
      <c r="B113" t="s">
        <v>14</v>
      </c>
      <c r="C113" t="s">
        <v>15</v>
      </c>
      <c r="D113" t="s">
        <v>519</v>
      </c>
      <c r="E113" t="s">
        <v>520</v>
      </c>
      <c r="F113" t="s">
        <v>207</v>
      </c>
      <c r="G113" t="s">
        <v>208</v>
      </c>
      <c r="H113" t="s">
        <v>521</v>
      </c>
      <c r="I113" t="s">
        <v>15</v>
      </c>
      <c r="J113" t="s">
        <v>21</v>
      </c>
      <c r="K113" t="s">
        <v>22</v>
      </c>
      <c r="L113">
        <f>BDP($H113,"BICS_LEVEL_1_SECTOR_NAME")</f>
        <v/>
      </c>
      <c r="M113">
        <f>BDP($H113,"BICS_LEVEL_3_INDUSTRY_NAME")</f>
        <v/>
      </c>
    </row>
    <row r="114" spans="1:13">
      <c r="A114" t="s">
        <v>522</v>
      </c>
      <c r="B114" t="s">
        <v>14</v>
      </c>
      <c r="C114" t="s">
        <v>15</v>
      </c>
      <c r="D114" t="s">
        <v>523</v>
      </c>
      <c r="E114" t="s">
        <v>524</v>
      </c>
      <c r="F114" t="s">
        <v>48</v>
      </c>
      <c r="G114" t="s">
        <v>198</v>
      </c>
      <c r="H114" t="s">
        <v>525</v>
      </c>
      <c r="I114" t="s">
        <v>15</v>
      </c>
      <c r="J114" t="s">
        <v>21</v>
      </c>
      <c r="K114" t="s">
        <v>22</v>
      </c>
      <c r="L114">
        <f>BDP($H114,"BICS_LEVEL_1_SECTOR_NAME")</f>
        <v/>
      </c>
      <c r="M114">
        <f>BDP($H114,"BICS_LEVEL_3_INDUSTRY_NAME")</f>
        <v/>
      </c>
    </row>
    <row r="115" spans="1:13">
      <c r="A115" t="s">
        <v>526</v>
      </c>
      <c r="B115" t="s">
        <v>14</v>
      </c>
      <c r="C115" t="s">
        <v>15</v>
      </c>
      <c r="D115" t="s">
        <v>527</v>
      </c>
      <c r="E115" t="s">
        <v>528</v>
      </c>
      <c r="F115" t="s">
        <v>48</v>
      </c>
      <c r="G115" t="s">
        <v>529</v>
      </c>
      <c r="H115" t="s">
        <v>530</v>
      </c>
      <c r="I115" t="s">
        <v>15</v>
      </c>
      <c r="J115" t="s">
        <v>21</v>
      </c>
      <c r="K115" t="s">
        <v>22</v>
      </c>
      <c r="L115">
        <f>BDP($H115,"BICS_LEVEL_1_SECTOR_NAME")</f>
        <v/>
      </c>
      <c r="M115">
        <f>BDP($H115,"BICS_LEVEL_3_INDUSTRY_NAME")</f>
        <v/>
      </c>
    </row>
    <row r="116" spans="1:13">
      <c r="A116" t="s">
        <v>531</v>
      </c>
      <c r="B116" t="s">
        <v>14</v>
      </c>
      <c r="C116" t="s">
        <v>15</v>
      </c>
      <c r="D116" t="s">
        <v>532</v>
      </c>
      <c r="E116" t="s">
        <v>533</v>
      </c>
      <c r="F116" t="s">
        <v>18</v>
      </c>
      <c r="G116" t="s">
        <v>19</v>
      </c>
      <c r="H116" t="s">
        <v>534</v>
      </c>
      <c r="I116" t="s">
        <v>15</v>
      </c>
      <c r="J116" t="s">
        <v>21</v>
      </c>
      <c r="K116" t="s">
        <v>22</v>
      </c>
      <c r="L116">
        <f>BDP($H116,"BICS_LEVEL_1_SECTOR_NAME")</f>
        <v/>
      </c>
      <c r="M116">
        <f>BDP($H116,"BICS_LEVEL_3_INDUSTRY_NAME")</f>
        <v/>
      </c>
    </row>
    <row r="117" spans="1:13">
      <c r="A117" t="s">
        <v>535</v>
      </c>
      <c r="B117" t="s">
        <v>14</v>
      </c>
      <c r="C117" t="s">
        <v>15</v>
      </c>
      <c r="D117" t="s">
        <v>536</v>
      </c>
      <c r="E117" t="s">
        <v>537</v>
      </c>
      <c r="F117" t="s">
        <v>18</v>
      </c>
      <c r="G117" t="s">
        <v>117</v>
      </c>
      <c r="H117" t="s">
        <v>538</v>
      </c>
      <c r="I117" t="s">
        <v>15</v>
      </c>
      <c r="J117" t="s">
        <v>21</v>
      </c>
      <c r="K117" t="s">
        <v>22</v>
      </c>
      <c r="L117">
        <f>BDP($H117,"BICS_LEVEL_1_SECTOR_NAME")</f>
        <v/>
      </c>
      <c r="M117">
        <f>BDP($H117,"BICS_LEVEL_3_INDUSTRY_NAME")</f>
        <v/>
      </c>
    </row>
    <row r="118" spans="1:13">
      <c r="A118" t="s">
        <v>539</v>
      </c>
      <c r="B118" t="s">
        <v>14</v>
      </c>
      <c r="C118" t="s">
        <v>15</v>
      </c>
      <c r="D118" t="s">
        <v>540</v>
      </c>
      <c r="E118" t="s">
        <v>541</v>
      </c>
      <c r="F118" t="s">
        <v>233</v>
      </c>
      <c r="G118" t="s">
        <v>234</v>
      </c>
      <c r="H118" t="s">
        <v>542</v>
      </c>
      <c r="I118" t="s">
        <v>15</v>
      </c>
      <c r="J118" t="s">
        <v>21</v>
      </c>
      <c r="K118" t="s">
        <v>22</v>
      </c>
      <c r="L118">
        <f>BDP($H118,"BICS_LEVEL_1_SECTOR_NAME")</f>
        <v/>
      </c>
      <c r="M118">
        <f>BDP($H118,"BICS_LEVEL_3_INDUSTRY_NAME")</f>
        <v/>
      </c>
    </row>
    <row r="119" spans="1:13">
      <c r="A119" t="s">
        <v>543</v>
      </c>
      <c r="B119" t="s">
        <v>14</v>
      </c>
      <c r="C119" t="s">
        <v>15</v>
      </c>
      <c r="D119" t="s">
        <v>544</v>
      </c>
      <c r="E119" t="s">
        <v>545</v>
      </c>
      <c r="F119" t="s">
        <v>48</v>
      </c>
      <c r="G119" t="s">
        <v>546</v>
      </c>
      <c r="H119" t="s">
        <v>547</v>
      </c>
      <c r="I119" t="s">
        <v>15</v>
      </c>
      <c r="J119" t="s">
        <v>21</v>
      </c>
      <c r="K119" t="s">
        <v>22</v>
      </c>
      <c r="L119">
        <f>BDP($H119,"BICS_LEVEL_1_SECTOR_NAME")</f>
        <v/>
      </c>
      <c r="M119">
        <f>BDP($H119,"BICS_LEVEL_3_INDUSTRY_NAME")</f>
        <v/>
      </c>
    </row>
    <row r="120" spans="1:13">
      <c r="A120" t="s">
        <v>548</v>
      </c>
      <c r="B120" t="s">
        <v>14</v>
      </c>
      <c r="C120" t="s">
        <v>15</v>
      </c>
      <c r="D120" t="s">
        <v>549</v>
      </c>
      <c r="E120" t="s">
        <v>550</v>
      </c>
      <c r="F120" t="s">
        <v>42</v>
      </c>
      <c r="G120" t="s">
        <v>91</v>
      </c>
      <c r="H120" t="s">
        <v>551</v>
      </c>
      <c r="I120" t="s">
        <v>15</v>
      </c>
      <c r="J120" t="s">
        <v>21</v>
      </c>
      <c r="K120" t="s">
        <v>22</v>
      </c>
      <c r="L120">
        <f>BDP($H120,"BICS_LEVEL_1_SECTOR_NAME")</f>
        <v/>
      </c>
      <c r="M120">
        <f>BDP($H120,"BICS_LEVEL_3_INDUSTRY_NAME")</f>
        <v/>
      </c>
    </row>
    <row r="121" spans="1:13">
      <c r="A121" t="s">
        <v>552</v>
      </c>
      <c r="B121" t="s">
        <v>14</v>
      </c>
      <c r="C121" t="s">
        <v>15</v>
      </c>
      <c r="D121" t="s">
        <v>553</v>
      </c>
      <c r="E121" t="s">
        <v>554</v>
      </c>
      <c r="F121" t="s">
        <v>48</v>
      </c>
      <c r="G121" t="s">
        <v>546</v>
      </c>
      <c r="H121" t="s">
        <v>555</v>
      </c>
      <c r="I121" t="s">
        <v>15</v>
      </c>
      <c r="J121" t="s">
        <v>21</v>
      </c>
      <c r="K121" t="s">
        <v>22</v>
      </c>
      <c r="L121">
        <f>BDP($H121,"BICS_LEVEL_1_SECTOR_NAME")</f>
        <v/>
      </c>
      <c r="M121">
        <f>BDP($H121,"BICS_LEVEL_3_INDUSTRY_NAME")</f>
        <v/>
      </c>
    </row>
    <row r="122" spans="1:13">
      <c r="A122" t="s">
        <v>556</v>
      </c>
      <c r="B122" t="s">
        <v>14</v>
      </c>
      <c r="C122" t="s">
        <v>15</v>
      </c>
      <c r="D122" t="s">
        <v>557</v>
      </c>
      <c r="E122" t="s">
        <v>558</v>
      </c>
      <c r="F122" t="s">
        <v>48</v>
      </c>
      <c r="G122" t="s">
        <v>153</v>
      </c>
      <c r="H122" t="s">
        <v>559</v>
      </c>
      <c r="I122" t="s">
        <v>15</v>
      </c>
      <c r="J122" t="s">
        <v>21</v>
      </c>
      <c r="K122" t="s">
        <v>22</v>
      </c>
      <c r="L122">
        <f>BDP($H122,"BICS_LEVEL_1_SECTOR_NAME")</f>
        <v/>
      </c>
      <c r="M122">
        <f>BDP($H122,"BICS_LEVEL_3_INDUSTRY_NAME")</f>
        <v/>
      </c>
    </row>
    <row r="123" spans="1:13">
      <c r="A123" t="s">
        <v>560</v>
      </c>
      <c r="B123" t="s">
        <v>14</v>
      </c>
      <c r="C123" t="s">
        <v>15</v>
      </c>
      <c r="D123" t="s">
        <v>561</v>
      </c>
      <c r="E123" t="s">
        <v>562</v>
      </c>
      <c r="F123" t="s">
        <v>48</v>
      </c>
      <c r="G123" t="s">
        <v>311</v>
      </c>
      <c r="H123" t="s">
        <v>563</v>
      </c>
      <c r="I123" t="s">
        <v>15</v>
      </c>
      <c r="J123" t="s">
        <v>21</v>
      </c>
      <c r="K123" t="s">
        <v>22</v>
      </c>
      <c r="L123">
        <f>BDP($H123,"BICS_LEVEL_1_SECTOR_NAME")</f>
        <v/>
      </c>
      <c r="M123">
        <f>BDP($H123,"BICS_LEVEL_3_INDUSTRY_NAME")</f>
        <v/>
      </c>
    </row>
    <row r="124" spans="1:13">
      <c r="A124" t="s">
        <v>564</v>
      </c>
      <c r="B124" t="s">
        <v>14</v>
      </c>
      <c r="C124" t="s">
        <v>15</v>
      </c>
      <c r="D124" t="s">
        <v>565</v>
      </c>
      <c r="E124" t="s">
        <v>566</v>
      </c>
      <c r="F124" t="s">
        <v>18</v>
      </c>
      <c r="G124" t="s">
        <v>567</v>
      </c>
      <c r="H124" t="s">
        <v>568</v>
      </c>
      <c r="I124" t="s">
        <v>15</v>
      </c>
      <c r="J124" t="s">
        <v>21</v>
      </c>
      <c r="K124" t="s">
        <v>22</v>
      </c>
      <c r="L124">
        <f>BDP($H124,"BICS_LEVEL_1_SECTOR_NAME")</f>
        <v/>
      </c>
      <c r="M124">
        <f>BDP($H124,"BICS_LEVEL_3_INDUSTRY_NAME")</f>
        <v/>
      </c>
    </row>
    <row r="125" spans="1:13">
      <c r="A125" t="s">
        <v>569</v>
      </c>
      <c r="B125" t="s">
        <v>14</v>
      </c>
      <c r="C125" t="s">
        <v>15</v>
      </c>
      <c r="D125" t="s">
        <v>570</v>
      </c>
      <c r="E125" t="s">
        <v>571</v>
      </c>
      <c r="F125" t="s">
        <v>42</v>
      </c>
      <c r="G125" t="s">
        <v>415</v>
      </c>
      <c r="H125" t="s">
        <v>572</v>
      </c>
      <c r="I125" t="s">
        <v>15</v>
      </c>
      <c r="J125" t="s">
        <v>21</v>
      </c>
      <c r="K125" t="s">
        <v>22</v>
      </c>
      <c r="L125">
        <f>BDP($H125,"BICS_LEVEL_1_SECTOR_NAME")</f>
        <v/>
      </c>
      <c r="M125">
        <f>BDP($H125,"BICS_LEVEL_3_INDUSTRY_NAME")</f>
        <v/>
      </c>
    </row>
    <row r="126" spans="1:13">
      <c r="A126" t="s">
        <v>573</v>
      </c>
      <c r="B126" t="s">
        <v>14</v>
      </c>
      <c r="C126" t="s">
        <v>15</v>
      </c>
      <c r="D126" t="s">
        <v>574</v>
      </c>
      <c r="E126" t="s">
        <v>575</v>
      </c>
      <c r="F126" t="s">
        <v>42</v>
      </c>
      <c r="G126" t="s">
        <v>415</v>
      </c>
      <c r="H126" t="s">
        <v>576</v>
      </c>
      <c r="I126" t="s">
        <v>15</v>
      </c>
      <c r="J126" t="s">
        <v>21</v>
      </c>
      <c r="K126" t="s">
        <v>22</v>
      </c>
      <c r="L126">
        <f>BDP($H126,"BICS_LEVEL_1_SECTOR_NAME")</f>
        <v/>
      </c>
      <c r="M126">
        <f>BDP($H126,"BICS_LEVEL_3_INDUSTRY_NAME")</f>
        <v/>
      </c>
    </row>
    <row r="127" spans="1:13">
      <c r="A127" t="s">
        <v>577</v>
      </c>
      <c r="B127" t="s">
        <v>14</v>
      </c>
      <c r="C127" t="s">
        <v>15</v>
      </c>
      <c r="D127" t="s">
        <v>578</v>
      </c>
      <c r="E127" t="s">
        <v>579</v>
      </c>
      <c r="F127" t="s">
        <v>48</v>
      </c>
      <c r="G127" t="s">
        <v>580</v>
      </c>
      <c r="H127" t="s">
        <v>581</v>
      </c>
      <c r="I127" t="s">
        <v>15</v>
      </c>
      <c r="J127" t="s">
        <v>21</v>
      </c>
      <c r="K127" t="s">
        <v>22</v>
      </c>
      <c r="L127">
        <f>BDP($H127,"BICS_LEVEL_1_SECTOR_NAME")</f>
        <v/>
      </c>
      <c r="M127">
        <f>BDP($H127,"BICS_LEVEL_3_INDUSTRY_NAME")</f>
        <v/>
      </c>
    </row>
    <row r="128" spans="1:13">
      <c r="A128" t="s">
        <v>582</v>
      </c>
      <c r="B128" t="s">
        <v>14</v>
      </c>
      <c r="C128" t="s">
        <v>15</v>
      </c>
      <c r="D128" t="s">
        <v>583</v>
      </c>
      <c r="E128" t="s">
        <v>584</v>
      </c>
      <c r="F128" t="s">
        <v>48</v>
      </c>
      <c r="G128" t="s">
        <v>580</v>
      </c>
      <c r="H128" t="s">
        <v>585</v>
      </c>
      <c r="I128" t="s">
        <v>15</v>
      </c>
      <c r="J128" t="s">
        <v>21</v>
      </c>
      <c r="K128" t="s">
        <v>22</v>
      </c>
      <c r="L128">
        <f>BDP($H128,"BICS_LEVEL_1_SECTOR_NAME")</f>
        <v/>
      </c>
      <c r="M128">
        <f>BDP($H128,"BICS_LEVEL_3_INDUSTRY_NAME")</f>
        <v/>
      </c>
    </row>
    <row r="129" spans="1:13">
      <c r="A129" t="s">
        <v>586</v>
      </c>
      <c r="B129" t="s">
        <v>14</v>
      </c>
      <c r="C129" t="s">
        <v>15</v>
      </c>
      <c r="D129" t="s">
        <v>587</v>
      </c>
      <c r="E129" t="s">
        <v>588</v>
      </c>
      <c r="F129" t="s">
        <v>48</v>
      </c>
      <c r="G129" t="s">
        <v>63</v>
      </c>
      <c r="H129" t="s">
        <v>589</v>
      </c>
      <c r="I129" t="s">
        <v>15</v>
      </c>
      <c r="J129" t="s">
        <v>21</v>
      </c>
      <c r="K129" t="s">
        <v>22</v>
      </c>
      <c r="L129">
        <f>BDP($H129,"BICS_LEVEL_1_SECTOR_NAME")</f>
        <v/>
      </c>
      <c r="M129">
        <f>BDP($H129,"BICS_LEVEL_3_INDUSTRY_NAME")</f>
        <v/>
      </c>
    </row>
    <row r="130" spans="1:13">
      <c r="A130" t="s">
        <v>590</v>
      </c>
      <c r="B130" t="s">
        <v>14</v>
      </c>
      <c r="C130" t="s">
        <v>15</v>
      </c>
      <c r="D130" t="s">
        <v>591</v>
      </c>
      <c r="E130" t="s">
        <v>592</v>
      </c>
      <c r="F130" t="s">
        <v>26</v>
      </c>
      <c r="G130" t="s">
        <v>239</v>
      </c>
      <c r="H130" t="s">
        <v>593</v>
      </c>
      <c r="I130" t="s">
        <v>15</v>
      </c>
      <c r="J130" t="s">
        <v>21</v>
      </c>
      <c r="K130" t="s">
        <v>22</v>
      </c>
      <c r="L130">
        <f>BDP($H130,"BICS_LEVEL_1_SECTOR_NAME")</f>
        <v/>
      </c>
      <c r="M130">
        <f>BDP($H130,"BICS_LEVEL_3_INDUSTRY_NAME")</f>
        <v/>
      </c>
    </row>
    <row r="131" spans="1:13">
      <c r="A131" t="s">
        <v>594</v>
      </c>
      <c r="B131" t="s">
        <v>14</v>
      </c>
      <c r="C131" t="s">
        <v>15</v>
      </c>
      <c r="D131" t="s">
        <v>595</v>
      </c>
      <c r="E131" t="s">
        <v>596</v>
      </c>
      <c r="F131" t="s">
        <v>26</v>
      </c>
      <c r="G131" t="s">
        <v>239</v>
      </c>
      <c r="H131" t="s">
        <v>597</v>
      </c>
      <c r="I131" t="s">
        <v>15</v>
      </c>
      <c r="J131" t="s">
        <v>21</v>
      </c>
      <c r="K131" t="s">
        <v>22</v>
      </c>
      <c r="L131">
        <f>BDP($H131,"BICS_LEVEL_1_SECTOR_NAME")</f>
        <v/>
      </c>
      <c r="M131">
        <f>BDP($H131,"BICS_LEVEL_3_INDUSTRY_NAME")</f>
        <v/>
      </c>
    </row>
    <row r="132" spans="1:13">
      <c r="A132" t="s">
        <v>598</v>
      </c>
      <c r="B132" t="s">
        <v>14</v>
      </c>
      <c r="C132" t="s">
        <v>15</v>
      </c>
      <c r="D132" t="s">
        <v>599</v>
      </c>
      <c r="E132" t="s">
        <v>600</v>
      </c>
      <c r="F132" t="s">
        <v>26</v>
      </c>
      <c r="G132" t="s">
        <v>134</v>
      </c>
      <c r="H132" t="s">
        <v>601</v>
      </c>
      <c r="I132" t="s">
        <v>15</v>
      </c>
      <c r="J132" t="s">
        <v>21</v>
      </c>
      <c r="K132" t="s">
        <v>22</v>
      </c>
      <c r="L132">
        <f>BDP($H132,"BICS_LEVEL_1_SECTOR_NAME")</f>
        <v/>
      </c>
      <c r="M132">
        <f>BDP($H132,"BICS_LEVEL_3_INDUSTRY_NAME")</f>
        <v/>
      </c>
    </row>
    <row r="133" spans="1:13">
      <c r="A133" t="s">
        <v>602</v>
      </c>
      <c r="B133" t="s">
        <v>14</v>
      </c>
      <c r="C133" t="s">
        <v>15</v>
      </c>
      <c r="D133" t="s">
        <v>603</v>
      </c>
      <c r="E133" t="s">
        <v>604</v>
      </c>
      <c r="F133" t="s">
        <v>18</v>
      </c>
      <c r="G133" t="s">
        <v>32</v>
      </c>
      <c r="H133" t="s">
        <v>605</v>
      </c>
      <c r="I133" t="s">
        <v>15</v>
      </c>
      <c r="J133" t="s">
        <v>21</v>
      </c>
      <c r="K133" t="s">
        <v>22</v>
      </c>
      <c r="L133">
        <f>BDP($H133,"BICS_LEVEL_1_SECTOR_NAME")</f>
        <v/>
      </c>
      <c r="M133">
        <f>BDP($H133,"BICS_LEVEL_3_INDUSTRY_NAME")</f>
        <v/>
      </c>
    </row>
    <row r="134" spans="1:13">
      <c r="A134" t="s">
        <v>606</v>
      </c>
      <c r="B134" t="s">
        <v>14</v>
      </c>
      <c r="C134" t="s">
        <v>15</v>
      </c>
      <c r="D134" t="s">
        <v>607</v>
      </c>
      <c r="E134" t="s">
        <v>608</v>
      </c>
      <c r="F134" t="s">
        <v>48</v>
      </c>
      <c r="G134" t="s">
        <v>609</v>
      </c>
      <c r="H134" t="s">
        <v>610</v>
      </c>
      <c r="I134" t="s">
        <v>15</v>
      </c>
      <c r="J134" t="s">
        <v>21</v>
      </c>
      <c r="K134" t="s">
        <v>22</v>
      </c>
      <c r="L134">
        <f>BDP($H134,"BICS_LEVEL_1_SECTOR_NAME")</f>
        <v/>
      </c>
      <c r="M134">
        <f>BDP($H134,"BICS_LEVEL_3_INDUSTRY_NAME")</f>
        <v/>
      </c>
    </row>
    <row r="135" spans="1:13">
      <c r="A135" t="s">
        <v>611</v>
      </c>
      <c r="B135" t="s">
        <v>14</v>
      </c>
      <c r="C135" t="s">
        <v>15</v>
      </c>
      <c r="D135" t="s">
        <v>612</v>
      </c>
      <c r="E135" t="s">
        <v>613</v>
      </c>
      <c r="F135" t="s">
        <v>26</v>
      </c>
      <c r="G135" t="s">
        <v>239</v>
      </c>
      <c r="H135" t="s">
        <v>614</v>
      </c>
      <c r="I135" t="s">
        <v>15</v>
      </c>
      <c r="J135" t="s">
        <v>21</v>
      </c>
      <c r="K135" t="s">
        <v>22</v>
      </c>
      <c r="L135">
        <f>BDP($H135,"BICS_LEVEL_1_SECTOR_NAME")</f>
        <v/>
      </c>
      <c r="M135">
        <f>BDP($H135,"BICS_LEVEL_3_INDUSTRY_NAME")</f>
        <v/>
      </c>
    </row>
    <row r="136" spans="1:13">
      <c r="A136" t="s">
        <v>615</v>
      </c>
      <c r="B136" t="s">
        <v>14</v>
      </c>
      <c r="C136" t="s">
        <v>15</v>
      </c>
      <c r="D136" t="s">
        <v>616</v>
      </c>
      <c r="E136" t="s">
        <v>617</v>
      </c>
      <c r="F136" t="s">
        <v>26</v>
      </c>
      <c r="G136" t="s">
        <v>618</v>
      </c>
      <c r="H136" t="s">
        <v>619</v>
      </c>
      <c r="I136" t="s">
        <v>15</v>
      </c>
      <c r="J136" t="s">
        <v>21</v>
      </c>
      <c r="K136" t="s">
        <v>22</v>
      </c>
      <c r="L136">
        <f>BDP($H136,"BICS_LEVEL_1_SECTOR_NAME")</f>
        <v/>
      </c>
      <c r="M136">
        <f>BDP($H136,"BICS_LEVEL_3_INDUSTRY_NAME")</f>
        <v/>
      </c>
    </row>
    <row r="137" spans="1:13">
      <c r="A137" t="s">
        <v>620</v>
      </c>
      <c r="B137" t="s">
        <v>14</v>
      </c>
      <c r="C137" t="s">
        <v>15</v>
      </c>
      <c r="D137" t="s">
        <v>621</v>
      </c>
      <c r="E137" t="s">
        <v>622</v>
      </c>
      <c r="F137" t="s">
        <v>42</v>
      </c>
      <c r="G137" t="s">
        <v>415</v>
      </c>
      <c r="H137" t="s">
        <v>623</v>
      </c>
      <c r="I137" t="s">
        <v>15</v>
      </c>
      <c r="J137" t="s">
        <v>21</v>
      </c>
      <c r="K137" t="s">
        <v>22</v>
      </c>
      <c r="L137">
        <f>BDP($H137,"BICS_LEVEL_1_SECTOR_NAME")</f>
        <v/>
      </c>
      <c r="M137">
        <f>BDP($H137,"BICS_LEVEL_3_INDUSTRY_NAME")</f>
        <v/>
      </c>
    </row>
    <row r="138" spans="1:13">
      <c r="A138" t="s">
        <v>624</v>
      </c>
      <c r="B138" t="s">
        <v>14</v>
      </c>
      <c r="C138" t="s">
        <v>15</v>
      </c>
      <c r="D138" t="s">
        <v>625</v>
      </c>
      <c r="E138" t="s">
        <v>626</v>
      </c>
      <c r="F138" t="s">
        <v>627</v>
      </c>
      <c r="G138" t="s">
        <v>628</v>
      </c>
      <c r="H138" t="s">
        <v>629</v>
      </c>
      <c r="I138" t="s">
        <v>15</v>
      </c>
      <c r="J138" t="s">
        <v>21</v>
      </c>
      <c r="K138" t="s">
        <v>22</v>
      </c>
      <c r="L138">
        <f>BDP($H138,"BICS_LEVEL_1_SECTOR_NAME")</f>
        <v/>
      </c>
      <c r="M138">
        <f>BDP($H138,"BICS_LEVEL_3_INDUSTRY_NAME")</f>
        <v/>
      </c>
    </row>
    <row r="139" spans="1:13">
      <c r="A139" t="s">
        <v>630</v>
      </c>
      <c r="B139" t="s">
        <v>14</v>
      </c>
      <c r="C139" t="s">
        <v>15</v>
      </c>
      <c r="D139" t="s">
        <v>631</v>
      </c>
      <c r="E139" t="s">
        <v>632</v>
      </c>
      <c r="F139" t="s">
        <v>392</v>
      </c>
      <c r="G139" t="s">
        <v>633</v>
      </c>
      <c r="H139" t="s">
        <v>634</v>
      </c>
      <c r="I139" t="s">
        <v>15</v>
      </c>
      <c r="J139" t="s">
        <v>21</v>
      </c>
      <c r="K139" t="s">
        <v>22</v>
      </c>
      <c r="L139">
        <f>BDP($H139,"BICS_LEVEL_1_SECTOR_NAME")</f>
        <v/>
      </c>
      <c r="M139">
        <f>BDP($H139,"BICS_LEVEL_3_INDUSTRY_NAME")</f>
        <v/>
      </c>
    </row>
    <row r="140" spans="1:13">
      <c r="A140" t="s">
        <v>635</v>
      </c>
      <c r="B140" t="s">
        <v>14</v>
      </c>
      <c r="C140" t="s">
        <v>15</v>
      </c>
      <c r="D140" t="s">
        <v>636</v>
      </c>
      <c r="E140" t="s">
        <v>637</v>
      </c>
      <c r="F140" t="s">
        <v>26</v>
      </c>
      <c r="G140" t="s">
        <v>37</v>
      </c>
      <c r="H140" t="s">
        <v>638</v>
      </c>
      <c r="I140" t="s">
        <v>15</v>
      </c>
      <c r="J140" t="s">
        <v>21</v>
      </c>
      <c r="K140" t="s">
        <v>22</v>
      </c>
      <c r="L140">
        <f>BDP($H140,"BICS_LEVEL_1_SECTOR_NAME")</f>
        <v/>
      </c>
      <c r="M140">
        <f>BDP($H140,"BICS_LEVEL_3_INDUSTRY_NAME")</f>
        <v/>
      </c>
    </row>
    <row r="141" spans="1:13">
      <c r="A141" t="s">
        <v>639</v>
      </c>
      <c r="B141" t="s">
        <v>14</v>
      </c>
      <c r="C141" t="s">
        <v>15</v>
      </c>
      <c r="D141" t="s">
        <v>640</v>
      </c>
      <c r="E141" t="s">
        <v>641</v>
      </c>
      <c r="F141" t="s">
        <v>18</v>
      </c>
      <c r="G141" t="s">
        <v>117</v>
      </c>
      <c r="H141" t="s">
        <v>642</v>
      </c>
      <c r="I141" t="s">
        <v>15</v>
      </c>
      <c r="J141" t="s">
        <v>21</v>
      </c>
      <c r="K141" t="s">
        <v>22</v>
      </c>
      <c r="L141">
        <f>BDP($H141,"BICS_LEVEL_1_SECTOR_NAME")</f>
        <v/>
      </c>
      <c r="M141">
        <f>BDP($H141,"BICS_LEVEL_3_INDUSTRY_NAME")</f>
        <v/>
      </c>
    </row>
    <row r="142" spans="1:13">
      <c r="A142" t="s">
        <v>643</v>
      </c>
      <c r="B142" t="s">
        <v>14</v>
      </c>
      <c r="C142" t="s">
        <v>15</v>
      </c>
      <c r="D142" t="s">
        <v>644</v>
      </c>
      <c r="E142" t="s">
        <v>645</v>
      </c>
      <c r="F142" t="s">
        <v>26</v>
      </c>
      <c r="G142" t="s">
        <v>37</v>
      </c>
      <c r="H142" t="s">
        <v>646</v>
      </c>
      <c r="I142" t="s">
        <v>15</v>
      </c>
      <c r="J142" t="s">
        <v>21</v>
      </c>
      <c r="K142" t="s">
        <v>22</v>
      </c>
      <c r="L142">
        <f>BDP($H142,"BICS_LEVEL_1_SECTOR_NAME")</f>
        <v/>
      </c>
      <c r="M142">
        <f>BDP($H142,"BICS_LEVEL_3_INDUSTRY_NAME")</f>
        <v/>
      </c>
    </row>
    <row r="143" spans="1:13">
      <c r="A143" t="s">
        <v>647</v>
      </c>
      <c r="B143" t="s">
        <v>14</v>
      </c>
      <c r="C143" t="s">
        <v>15</v>
      </c>
      <c r="D143" t="s">
        <v>648</v>
      </c>
      <c r="E143" t="s">
        <v>649</v>
      </c>
      <c r="F143" t="s">
        <v>42</v>
      </c>
      <c r="G143" t="s">
        <v>43</v>
      </c>
      <c r="H143" t="s">
        <v>650</v>
      </c>
      <c r="I143" t="s">
        <v>15</v>
      </c>
      <c r="J143" t="s">
        <v>21</v>
      </c>
      <c r="K143" t="s">
        <v>22</v>
      </c>
      <c r="L143">
        <f>BDP($H143,"BICS_LEVEL_1_SECTOR_NAME")</f>
        <v/>
      </c>
      <c r="M143">
        <f>BDP($H143,"BICS_LEVEL_3_INDUSTRY_NAME")</f>
        <v/>
      </c>
    </row>
    <row r="144" spans="1:13">
      <c r="A144" t="s">
        <v>651</v>
      </c>
      <c r="B144" t="s">
        <v>14</v>
      </c>
      <c r="C144" t="s">
        <v>15</v>
      </c>
      <c r="D144" t="s">
        <v>652</v>
      </c>
      <c r="E144" t="s">
        <v>653</v>
      </c>
      <c r="F144" t="s">
        <v>42</v>
      </c>
      <c r="G144" t="s">
        <v>415</v>
      </c>
      <c r="H144" t="s">
        <v>654</v>
      </c>
      <c r="I144" t="s">
        <v>15</v>
      </c>
      <c r="J144" t="s">
        <v>21</v>
      </c>
      <c r="K144" t="s">
        <v>22</v>
      </c>
      <c r="L144">
        <f>BDP($H144,"BICS_LEVEL_1_SECTOR_NAME")</f>
        <v/>
      </c>
      <c r="M144">
        <f>BDP($H144,"BICS_LEVEL_3_INDUSTRY_NAME")</f>
        <v/>
      </c>
    </row>
    <row r="145" spans="1:13">
      <c r="A145" t="s">
        <v>655</v>
      </c>
      <c r="B145" t="s">
        <v>14</v>
      </c>
      <c r="C145" t="s">
        <v>15</v>
      </c>
      <c r="D145" t="s">
        <v>656</v>
      </c>
      <c r="E145" t="s">
        <v>657</v>
      </c>
      <c r="F145" t="s">
        <v>26</v>
      </c>
      <c r="G145" t="s">
        <v>239</v>
      </c>
      <c r="H145" t="s">
        <v>658</v>
      </c>
      <c r="I145" t="s">
        <v>15</v>
      </c>
      <c r="J145" t="s">
        <v>21</v>
      </c>
      <c r="K145" t="s">
        <v>22</v>
      </c>
      <c r="L145">
        <f>BDP($H145,"BICS_LEVEL_1_SECTOR_NAME")</f>
        <v/>
      </c>
      <c r="M145">
        <f>BDP($H145,"BICS_LEVEL_3_INDUSTRY_NAME")</f>
        <v/>
      </c>
    </row>
    <row r="146" spans="1:13">
      <c r="A146" t="s">
        <v>659</v>
      </c>
      <c r="B146" t="s">
        <v>14</v>
      </c>
      <c r="C146" t="s">
        <v>15</v>
      </c>
      <c r="D146" t="s">
        <v>660</v>
      </c>
      <c r="E146" t="s">
        <v>661</v>
      </c>
      <c r="F146" t="s">
        <v>26</v>
      </c>
      <c r="G146" t="s">
        <v>239</v>
      </c>
      <c r="H146" t="s">
        <v>662</v>
      </c>
      <c r="I146" t="s">
        <v>15</v>
      </c>
      <c r="J146" t="s">
        <v>21</v>
      </c>
      <c r="K146" t="s">
        <v>22</v>
      </c>
      <c r="L146">
        <f>BDP($H146,"BICS_LEVEL_1_SECTOR_NAME")</f>
        <v/>
      </c>
      <c r="M146">
        <f>BDP($H146,"BICS_LEVEL_3_INDUSTRY_NAME")</f>
        <v/>
      </c>
    </row>
    <row r="147" spans="1:13">
      <c r="A147" t="s">
        <v>663</v>
      </c>
      <c r="B147" t="s">
        <v>14</v>
      </c>
      <c r="C147" t="s">
        <v>15</v>
      </c>
      <c r="D147" t="s">
        <v>664</v>
      </c>
      <c r="E147" t="s">
        <v>665</v>
      </c>
      <c r="F147" t="s">
        <v>18</v>
      </c>
      <c r="G147" t="s">
        <v>261</v>
      </c>
      <c r="H147" t="s">
        <v>666</v>
      </c>
      <c r="I147" t="s">
        <v>15</v>
      </c>
      <c r="J147" t="s">
        <v>21</v>
      </c>
      <c r="K147" t="s">
        <v>22</v>
      </c>
      <c r="L147">
        <f>BDP($H147,"BICS_LEVEL_1_SECTOR_NAME")</f>
        <v/>
      </c>
      <c r="M147">
        <f>BDP($H147,"BICS_LEVEL_3_INDUSTRY_NAME")</f>
        <v/>
      </c>
    </row>
    <row r="148" spans="1:13">
      <c r="A148" t="s">
        <v>667</v>
      </c>
      <c r="B148" t="s">
        <v>14</v>
      </c>
      <c r="C148" t="s">
        <v>15</v>
      </c>
      <c r="D148" t="s">
        <v>668</v>
      </c>
      <c r="E148" t="s">
        <v>669</v>
      </c>
      <c r="F148" t="s">
        <v>48</v>
      </c>
      <c r="G148" t="s">
        <v>580</v>
      </c>
      <c r="H148" t="s">
        <v>670</v>
      </c>
      <c r="I148" t="s">
        <v>15</v>
      </c>
      <c r="J148" t="s">
        <v>21</v>
      </c>
      <c r="K148" t="s">
        <v>22</v>
      </c>
      <c r="L148">
        <f>BDP($H148,"BICS_LEVEL_1_SECTOR_NAME")</f>
        <v/>
      </c>
      <c r="M148">
        <f>BDP($H148,"BICS_LEVEL_3_INDUSTRY_NAME")</f>
        <v/>
      </c>
    </row>
    <row r="149" spans="1:13">
      <c r="A149" t="s">
        <v>671</v>
      </c>
      <c r="B149" t="s">
        <v>14</v>
      </c>
      <c r="C149" t="s">
        <v>15</v>
      </c>
      <c r="D149" t="s">
        <v>672</v>
      </c>
      <c r="E149" t="s">
        <v>673</v>
      </c>
      <c r="F149" t="s">
        <v>18</v>
      </c>
      <c r="G149" t="s">
        <v>674</v>
      </c>
      <c r="H149" t="s">
        <v>675</v>
      </c>
      <c r="I149" t="s">
        <v>15</v>
      </c>
      <c r="J149" t="s">
        <v>21</v>
      </c>
      <c r="K149" t="s">
        <v>22</v>
      </c>
      <c r="L149">
        <f>BDP($H149,"BICS_LEVEL_1_SECTOR_NAME")</f>
        <v/>
      </c>
      <c r="M149">
        <f>BDP($H149,"BICS_LEVEL_3_INDUSTRY_NAME")</f>
        <v/>
      </c>
    </row>
    <row r="150" spans="1:13">
      <c r="A150" t="s">
        <v>676</v>
      </c>
      <c r="B150" t="s">
        <v>14</v>
      </c>
      <c r="C150" t="s">
        <v>15</v>
      </c>
      <c r="D150" t="s">
        <v>677</v>
      </c>
      <c r="E150" t="s">
        <v>678</v>
      </c>
      <c r="F150" t="s">
        <v>42</v>
      </c>
      <c r="G150" t="s">
        <v>91</v>
      </c>
      <c r="H150" t="s">
        <v>679</v>
      </c>
      <c r="I150" t="s">
        <v>15</v>
      </c>
      <c r="J150" t="s">
        <v>21</v>
      </c>
      <c r="K150" t="s">
        <v>22</v>
      </c>
      <c r="L150">
        <f>BDP($H150,"BICS_LEVEL_1_SECTOR_NAME")</f>
        <v/>
      </c>
      <c r="M150">
        <f>BDP($H150,"BICS_LEVEL_3_INDUSTRY_NAME")</f>
        <v/>
      </c>
    </row>
    <row r="151" spans="1:13">
      <c r="A151" t="s">
        <v>680</v>
      </c>
      <c r="B151" t="s">
        <v>14</v>
      </c>
      <c r="C151" t="s">
        <v>15</v>
      </c>
      <c r="D151" t="s">
        <v>681</v>
      </c>
      <c r="E151" t="s">
        <v>682</v>
      </c>
      <c r="F151" t="s">
        <v>42</v>
      </c>
      <c r="G151" t="s">
        <v>43</v>
      </c>
      <c r="H151" t="s">
        <v>683</v>
      </c>
      <c r="I151" t="s">
        <v>15</v>
      </c>
      <c r="J151" t="s">
        <v>21</v>
      </c>
      <c r="K151" t="s">
        <v>22</v>
      </c>
      <c r="L151">
        <f>BDP($H151,"BICS_LEVEL_1_SECTOR_NAME")</f>
        <v/>
      </c>
      <c r="M151">
        <f>BDP($H151,"BICS_LEVEL_3_INDUSTRY_NAME")</f>
        <v/>
      </c>
    </row>
    <row r="152" spans="1:13">
      <c r="A152" t="s">
        <v>684</v>
      </c>
      <c r="B152" t="s">
        <v>14</v>
      </c>
      <c r="C152" t="s">
        <v>15</v>
      </c>
      <c r="D152" t="s">
        <v>685</v>
      </c>
      <c r="E152" t="s">
        <v>686</v>
      </c>
      <c r="F152" t="s">
        <v>392</v>
      </c>
      <c r="G152" t="s">
        <v>687</v>
      </c>
      <c r="H152" t="s">
        <v>688</v>
      </c>
      <c r="I152" t="s">
        <v>15</v>
      </c>
      <c r="J152" t="s">
        <v>21</v>
      </c>
      <c r="K152" t="s">
        <v>22</v>
      </c>
      <c r="L152">
        <f>BDP($H152,"BICS_LEVEL_1_SECTOR_NAME")</f>
        <v/>
      </c>
      <c r="M152">
        <f>BDP($H152,"BICS_LEVEL_3_INDUSTRY_NAME")</f>
        <v/>
      </c>
    </row>
    <row r="153" spans="1:13">
      <c r="A153" t="s">
        <v>689</v>
      </c>
      <c r="B153" t="s">
        <v>14</v>
      </c>
      <c r="C153" t="s">
        <v>15</v>
      </c>
      <c r="D153" t="s">
        <v>690</v>
      </c>
      <c r="E153" t="s">
        <v>691</v>
      </c>
      <c r="F153" t="s">
        <v>26</v>
      </c>
      <c r="G153" t="s">
        <v>239</v>
      </c>
      <c r="H153" t="s">
        <v>692</v>
      </c>
      <c r="I153" t="s">
        <v>15</v>
      </c>
      <c r="J153" t="s">
        <v>21</v>
      </c>
      <c r="K153" t="s">
        <v>22</v>
      </c>
      <c r="L153">
        <f>BDP($H153,"BICS_LEVEL_1_SECTOR_NAME")</f>
        <v/>
      </c>
      <c r="M153">
        <f>BDP($H153,"BICS_LEVEL_3_INDUSTRY_NAME")</f>
        <v/>
      </c>
    </row>
    <row r="154" spans="1:13">
      <c r="A154" t="s">
        <v>693</v>
      </c>
      <c r="B154" t="s">
        <v>14</v>
      </c>
      <c r="C154" t="s">
        <v>15</v>
      </c>
      <c r="D154" t="s">
        <v>694</v>
      </c>
      <c r="E154" t="s">
        <v>695</v>
      </c>
      <c r="F154" t="s">
        <v>42</v>
      </c>
      <c r="G154" t="s">
        <v>276</v>
      </c>
      <c r="H154" t="s">
        <v>696</v>
      </c>
      <c r="I154" t="s">
        <v>15</v>
      </c>
      <c r="J154" t="s">
        <v>21</v>
      </c>
      <c r="K154" t="s">
        <v>22</v>
      </c>
      <c r="L154">
        <f>BDP($H154,"BICS_LEVEL_1_SECTOR_NAME")</f>
        <v/>
      </c>
      <c r="M154">
        <f>BDP($H154,"BICS_LEVEL_3_INDUSTRY_NAME")</f>
        <v/>
      </c>
    </row>
    <row r="155" spans="1:13">
      <c r="A155" t="s">
        <v>697</v>
      </c>
      <c r="B155" t="s">
        <v>14</v>
      </c>
      <c r="C155" t="s">
        <v>15</v>
      </c>
      <c r="D155" t="s">
        <v>698</v>
      </c>
      <c r="E155" t="s">
        <v>699</v>
      </c>
      <c r="F155" t="s">
        <v>18</v>
      </c>
      <c r="G155" t="s">
        <v>567</v>
      </c>
      <c r="H155" t="s">
        <v>700</v>
      </c>
      <c r="I155" t="s">
        <v>15</v>
      </c>
      <c r="J155" t="s">
        <v>21</v>
      </c>
      <c r="K155" t="s">
        <v>22</v>
      </c>
      <c r="L155">
        <f>BDP($H155,"BICS_LEVEL_1_SECTOR_NAME")</f>
        <v/>
      </c>
      <c r="M155">
        <f>BDP($H155,"BICS_LEVEL_3_INDUSTRY_NAME")</f>
        <v/>
      </c>
    </row>
    <row r="156" spans="1:13">
      <c r="A156" t="s">
        <v>701</v>
      </c>
      <c r="B156" t="s">
        <v>14</v>
      </c>
      <c r="C156" t="s">
        <v>15</v>
      </c>
      <c r="D156" t="s">
        <v>702</v>
      </c>
      <c r="E156" t="s">
        <v>703</v>
      </c>
      <c r="F156" t="s">
        <v>26</v>
      </c>
      <c r="G156" t="s">
        <v>704</v>
      </c>
      <c r="H156" t="s">
        <v>705</v>
      </c>
      <c r="I156" t="s">
        <v>15</v>
      </c>
      <c r="J156" t="s">
        <v>21</v>
      </c>
      <c r="K156" t="s">
        <v>22</v>
      </c>
      <c r="L156">
        <f>BDP($H156,"BICS_LEVEL_1_SECTOR_NAME")</f>
        <v/>
      </c>
      <c r="M156">
        <f>BDP($H156,"BICS_LEVEL_3_INDUSTRY_NAME")</f>
        <v/>
      </c>
    </row>
    <row r="157" spans="1:13">
      <c r="A157" t="s">
        <v>706</v>
      </c>
      <c r="B157" t="s">
        <v>14</v>
      </c>
      <c r="C157" t="s">
        <v>15</v>
      </c>
      <c r="D157" t="s">
        <v>707</v>
      </c>
      <c r="E157" t="s">
        <v>708</v>
      </c>
      <c r="F157" t="s">
        <v>42</v>
      </c>
      <c r="G157" t="s">
        <v>43</v>
      </c>
      <c r="H157" t="s">
        <v>709</v>
      </c>
      <c r="I157" t="s">
        <v>15</v>
      </c>
      <c r="J157" t="s">
        <v>21</v>
      </c>
      <c r="K157" t="s">
        <v>22</v>
      </c>
      <c r="L157">
        <f>BDP($H157,"BICS_LEVEL_1_SECTOR_NAME")</f>
        <v/>
      </c>
      <c r="M157">
        <f>BDP($H157,"BICS_LEVEL_3_INDUSTRY_NAME")</f>
        <v/>
      </c>
    </row>
    <row r="158" spans="1:13">
      <c r="A158" t="s">
        <v>710</v>
      </c>
      <c r="B158" t="s">
        <v>14</v>
      </c>
      <c r="C158" t="s">
        <v>15</v>
      </c>
      <c r="D158" t="s">
        <v>711</v>
      </c>
      <c r="E158" t="s">
        <v>712</v>
      </c>
      <c r="F158" t="s">
        <v>18</v>
      </c>
      <c r="G158" t="s">
        <v>713</v>
      </c>
      <c r="H158" t="s">
        <v>714</v>
      </c>
      <c r="I158" t="s">
        <v>15</v>
      </c>
      <c r="J158" t="s">
        <v>21</v>
      </c>
      <c r="K158" t="s">
        <v>22</v>
      </c>
      <c r="L158">
        <f>BDP($H158,"BICS_LEVEL_1_SECTOR_NAME")</f>
        <v/>
      </c>
      <c r="M158">
        <f>BDP($H158,"BICS_LEVEL_3_INDUSTRY_NAME")</f>
        <v/>
      </c>
    </row>
    <row r="159" spans="1:13">
      <c r="A159" t="s">
        <v>715</v>
      </c>
      <c r="B159" t="s">
        <v>14</v>
      </c>
      <c r="C159" t="s">
        <v>15</v>
      </c>
      <c r="D159" t="s">
        <v>716</v>
      </c>
      <c r="E159" t="s">
        <v>717</v>
      </c>
      <c r="F159" t="s">
        <v>48</v>
      </c>
      <c r="G159" t="s">
        <v>193</v>
      </c>
      <c r="H159" t="s">
        <v>718</v>
      </c>
      <c r="I159" t="s">
        <v>15</v>
      </c>
      <c r="J159" t="s">
        <v>21</v>
      </c>
      <c r="K159" t="s">
        <v>22</v>
      </c>
      <c r="L159">
        <f>BDP($H159,"BICS_LEVEL_1_SECTOR_NAME")</f>
        <v/>
      </c>
      <c r="M159">
        <f>BDP($H159,"BICS_LEVEL_3_INDUSTRY_NAME")</f>
        <v/>
      </c>
    </row>
    <row r="160" spans="1:13">
      <c r="A160" t="s">
        <v>719</v>
      </c>
      <c r="B160" t="s">
        <v>14</v>
      </c>
      <c r="C160" t="s">
        <v>15</v>
      </c>
      <c r="D160" t="s">
        <v>720</v>
      </c>
      <c r="E160" t="s">
        <v>721</v>
      </c>
      <c r="F160" t="s">
        <v>207</v>
      </c>
      <c r="G160" t="s">
        <v>208</v>
      </c>
      <c r="H160" t="s">
        <v>722</v>
      </c>
      <c r="I160" t="s">
        <v>15</v>
      </c>
      <c r="J160" t="s">
        <v>21</v>
      </c>
      <c r="K160" t="s">
        <v>22</v>
      </c>
      <c r="L160">
        <f>BDP($H160,"BICS_LEVEL_1_SECTOR_NAME")</f>
        <v/>
      </c>
      <c r="M160">
        <f>BDP($H160,"BICS_LEVEL_3_INDUSTRY_NAME")</f>
        <v/>
      </c>
    </row>
    <row r="161" spans="1:13">
      <c r="A161" t="s">
        <v>723</v>
      </c>
      <c r="B161" t="s">
        <v>14</v>
      </c>
      <c r="C161" t="s">
        <v>15</v>
      </c>
      <c r="D161" t="s">
        <v>724</v>
      </c>
      <c r="E161" t="s">
        <v>725</v>
      </c>
      <c r="F161" t="s">
        <v>48</v>
      </c>
      <c r="G161" t="s">
        <v>198</v>
      </c>
      <c r="H161" t="s">
        <v>726</v>
      </c>
      <c r="I161" t="s">
        <v>15</v>
      </c>
      <c r="J161" t="s">
        <v>21</v>
      </c>
      <c r="K161" t="s">
        <v>22</v>
      </c>
      <c r="L161">
        <f>BDP($H161,"BICS_LEVEL_1_SECTOR_NAME")</f>
        <v/>
      </c>
      <c r="M161">
        <f>BDP($H161,"BICS_LEVEL_3_INDUSTRY_NAME")</f>
        <v/>
      </c>
    </row>
    <row r="162" spans="1:13">
      <c r="A162" t="s">
        <v>727</v>
      </c>
      <c r="B162" t="s">
        <v>14</v>
      </c>
      <c r="C162" t="s">
        <v>15</v>
      </c>
      <c r="D162" t="s">
        <v>728</v>
      </c>
      <c r="E162" t="s">
        <v>729</v>
      </c>
      <c r="F162" t="s">
        <v>627</v>
      </c>
      <c r="G162" t="s">
        <v>730</v>
      </c>
      <c r="H162" t="s">
        <v>731</v>
      </c>
      <c r="I162" t="s">
        <v>15</v>
      </c>
      <c r="J162" t="s">
        <v>21</v>
      </c>
      <c r="K162" t="s">
        <v>22</v>
      </c>
      <c r="L162">
        <f>BDP($H162,"BICS_LEVEL_1_SECTOR_NAME")</f>
        <v/>
      </c>
      <c r="M162">
        <f>BDP($H162,"BICS_LEVEL_3_INDUSTRY_NAME")</f>
        <v/>
      </c>
    </row>
    <row r="163" spans="1:13">
      <c r="A163" t="s">
        <v>732</v>
      </c>
      <c r="B163" t="s">
        <v>14</v>
      </c>
      <c r="C163" t="s">
        <v>15</v>
      </c>
      <c r="D163" t="s">
        <v>733</v>
      </c>
      <c r="E163" t="s">
        <v>734</v>
      </c>
      <c r="F163" t="s">
        <v>48</v>
      </c>
      <c r="G163" t="s">
        <v>735</v>
      </c>
      <c r="H163" t="s">
        <v>736</v>
      </c>
      <c r="I163" t="s">
        <v>15</v>
      </c>
      <c r="J163" t="s">
        <v>21</v>
      </c>
      <c r="K163" t="s">
        <v>22</v>
      </c>
      <c r="L163">
        <f>BDP($H163,"BICS_LEVEL_1_SECTOR_NAME")</f>
        <v/>
      </c>
      <c r="M163">
        <f>BDP($H163,"BICS_LEVEL_3_INDUSTRY_NAME")</f>
        <v/>
      </c>
    </row>
    <row r="164" spans="1:13">
      <c r="A164" t="s">
        <v>737</v>
      </c>
      <c r="B164" t="s">
        <v>14</v>
      </c>
      <c r="C164" t="s">
        <v>15</v>
      </c>
      <c r="D164" t="s">
        <v>738</v>
      </c>
      <c r="E164" t="s">
        <v>739</v>
      </c>
      <c r="F164" t="s">
        <v>48</v>
      </c>
      <c r="G164" t="s">
        <v>311</v>
      </c>
      <c r="H164" t="s">
        <v>740</v>
      </c>
      <c r="I164" t="s">
        <v>15</v>
      </c>
      <c r="J164" t="s">
        <v>21</v>
      </c>
      <c r="K164" t="s">
        <v>22</v>
      </c>
      <c r="L164">
        <f>BDP($H164,"BICS_LEVEL_1_SECTOR_NAME")</f>
        <v/>
      </c>
      <c r="M164">
        <f>BDP($H164,"BICS_LEVEL_3_INDUSTRY_NAME")</f>
        <v/>
      </c>
    </row>
    <row r="165" spans="1:13">
      <c r="A165" t="s">
        <v>741</v>
      </c>
      <c r="B165" t="s">
        <v>14</v>
      </c>
      <c r="C165" t="s">
        <v>15</v>
      </c>
      <c r="D165" t="s">
        <v>742</v>
      </c>
      <c r="E165" t="s">
        <v>743</v>
      </c>
      <c r="F165" t="s">
        <v>42</v>
      </c>
      <c r="G165" t="s">
        <v>744</v>
      </c>
      <c r="H165" t="s">
        <v>745</v>
      </c>
      <c r="I165" t="s">
        <v>15</v>
      </c>
      <c r="J165" t="s">
        <v>21</v>
      </c>
      <c r="K165" t="s">
        <v>22</v>
      </c>
      <c r="L165">
        <f>BDP($H165,"BICS_LEVEL_1_SECTOR_NAME")</f>
        <v/>
      </c>
      <c r="M165">
        <f>BDP($H165,"BICS_LEVEL_3_INDUSTRY_NAME")</f>
        <v/>
      </c>
    </row>
    <row r="166" spans="1:13">
      <c r="A166" t="s">
        <v>746</v>
      </c>
      <c r="B166" t="s">
        <v>14</v>
      </c>
      <c r="C166" t="s">
        <v>15</v>
      </c>
      <c r="D166" t="s">
        <v>747</v>
      </c>
      <c r="E166" t="s">
        <v>748</v>
      </c>
      <c r="F166" t="s">
        <v>48</v>
      </c>
      <c r="G166" t="s">
        <v>749</v>
      </c>
      <c r="H166" t="s">
        <v>750</v>
      </c>
      <c r="I166" t="s">
        <v>15</v>
      </c>
      <c r="J166" t="s">
        <v>21</v>
      </c>
      <c r="K166" t="s">
        <v>22</v>
      </c>
      <c r="L166">
        <f>BDP($H166,"BICS_LEVEL_1_SECTOR_NAME")</f>
        <v/>
      </c>
      <c r="M166">
        <f>BDP($H166,"BICS_LEVEL_3_INDUSTRY_NAME")</f>
        <v/>
      </c>
    </row>
    <row r="167" spans="1:13">
      <c r="A167" t="s">
        <v>751</v>
      </c>
      <c r="B167" t="s">
        <v>14</v>
      </c>
      <c r="C167" t="s">
        <v>15</v>
      </c>
      <c r="D167" t="s">
        <v>752</v>
      </c>
      <c r="E167" t="s">
        <v>753</v>
      </c>
      <c r="F167" t="s">
        <v>26</v>
      </c>
      <c r="G167" t="s">
        <v>239</v>
      </c>
      <c r="H167" t="s">
        <v>754</v>
      </c>
      <c r="I167" t="s">
        <v>15</v>
      </c>
      <c r="J167" t="s">
        <v>21</v>
      </c>
      <c r="K167" t="s">
        <v>22</v>
      </c>
      <c r="L167">
        <f>BDP($H167,"BICS_LEVEL_1_SECTOR_NAME")</f>
        <v/>
      </c>
      <c r="M167">
        <f>BDP($H167,"BICS_LEVEL_3_INDUSTRY_NAME")</f>
        <v/>
      </c>
    </row>
    <row r="168" spans="1:13">
      <c r="A168" t="s">
        <v>755</v>
      </c>
      <c r="B168" t="s">
        <v>14</v>
      </c>
      <c r="C168" t="s">
        <v>15</v>
      </c>
      <c r="D168" t="s">
        <v>756</v>
      </c>
      <c r="E168" t="s">
        <v>757</v>
      </c>
      <c r="F168" t="s">
        <v>26</v>
      </c>
      <c r="G168" t="s">
        <v>239</v>
      </c>
      <c r="H168" t="s">
        <v>758</v>
      </c>
      <c r="I168" t="s">
        <v>15</v>
      </c>
      <c r="J168" t="s">
        <v>21</v>
      </c>
      <c r="K168" t="s">
        <v>22</v>
      </c>
      <c r="L168">
        <f>BDP($H168,"BICS_LEVEL_1_SECTOR_NAME")</f>
        <v/>
      </c>
      <c r="M168">
        <f>BDP($H168,"BICS_LEVEL_3_INDUSTRY_NAME")</f>
        <v/>
      </c>
    </row>
    <row r="169" spans="1:13">
      <c r="A169" t="s">
        <v>759</v>
      </c>
      <c r="B169" t="s">
        <v>14</v>
      </c>
      <c r="C169" t="s">
        <v>15</v>
      </c>
      <c r="D169" t="s">
        <v>760</v>
      </c>
      <c r="E169" t="s">
        <v>761</v>
      </c>
      <c r="F169" t="s">
        <v>26</v>
      </c>
      <c r="G169" t="s">
        <v>37</v>
      </c>
      <c r="H169" t="s">
        <v>762</v>
      </c>
      <c r="I169" t="s">
        <v>15</v>
      </c>
      <c r="J169" t="s">
        <v>21</v>
      </c>
      <c r="K169" t="s">
        <v>22</v>
      </c>
      <c r="L169">
        <f>BDP($H169,"BICS_LEVEL_1_SECTOR_NAME")</f>
        <v/>
      </c>
      <c r="M169">
        <f>BDP($H169,"BICS_LEVEL_3_INDUSTRY_NAME")</f>
        <v/>
      </c>
    </row>
    <row r="170" spans="1:13">
      <c r="A170" t="s">
        <v>763</v>
      </c>
      <c r="B170" t="s">
        <v>14</v>
      </c>
      <c r="C170" t="s">
        <v>15</v>
      </c>
      <c r="D170" t="s">
        <v>764</v>
      </c>
      <c r="E170" t="s">
        <v>765</v>
      </c>
      <c r="F170" t="s">
        <v>48</v>
      </c>
      <c r="G170" t="s">
        <v>224</v>
      </c>
      <c r="H170" t="s">
        <v>766</v>
      </c>
      <c r="I170" t="s">
        <v>15</v>
      </c>
      <c r="J170" t="s">
        <v>21</v>
      </c>
      <c r="K170" t="s">
        <v>22</v>
      </c>
      <c r="L170">
        <f>BDP($H170,"BICS_LEVEL_1_SECTOR_NAME")</f>
        <v/>
      </c>
      <c r="M170">
        <f>BDP($H170,"BICS_LEVEL_3_INDUSTRY_NAME")</f>
        <v/>
      </c>
    </row>
    <row r="171" spans="1:13">
      <c r="A171" t="s">
        <v>767</v>
      </c>
      <c r="B171" t="s">
        <v>14</v>
      </c>
      <c r="C171" t="s">
        <v>15</v>
      </c>
      <c r="D171" t="s">
        <v>768</v>
      </c>
      <c r="E171" t="s">
        <v>769</v>
      </c>
      <c r="F171" t="s">
        <v>42</v>
      </c>
      <c r="G171" t="s">
        <v>770</v>
      </c>
      <c r="H171" t="s">
        <v>771</v>
      </c>
      <c r="I171" t="s">
        <v>15</v>
      </c>
      <c r="J171" t="s">
        <v>21</v>
      </c>
      <c r="K171" t="s">
        <v>22</v>
      </c>
      <c r="L171">
        <f>BDP($H171,"BICS_LEVEL_1_SECTOR_NAME")</f>
        <v/>
      </c>
      <c r="M171">
        <f>BDP($H171,"BICS_LEVEL_3_INDUSTRY_NAME")</f>
        <v/>
      </c>
    </row>
    <row r="172" spans="1:13">
      <c r="A172" t="s">
        <v>772</v>
      </c>
      <c r="B172" t="s">
        <v>14</v>
      </c>
      <c r="C172" t="s">
        <v>15</v>
      </c>
      <c r="D172" t="s">
        <v>773</v>
      </c>
      <c r="E172" t="s">
        <v>774</v>
      </c>
      <c r="F172" t="s">
        <v>26</v>
      </c>
      <c r="G172" t="s">
        <v>239</v>
      </c>
      <c r="H172" t="s">
        <v>775</v>
      </c>
      <c r="I172" t="s">
        <v>15</v>
      </c>
      <c r="J172" t="s">
        <v>21</v>
      </c>
      <c r="K172" t="s">
        <v>22</v>
      </c>
      <c r="L172">
        <f>BDP($H172,"BICS_LEVEL_1_SECTOR_NAME")</f>
        <v/>
      </c>
      <c r="M172">
        <f>BDP($H172,"BICS_LEVEL_3_INDUSTRY_NAME")</f>
        <v/>
      </c>
    </row>
    <row r="173" spans="1:13">
      <c r="A173" t="s">
        <v>776</v>
      </c>
      <c r="B173" t="s">
        <v>14</v>
      </c>
      <c r="C173" t="s">
        <v>15</v>
      </c>
      <c r="D173" t="s">
        <v>777</v>
      </c>
      <c r="E173" t="s">
        <v>778</v>
      </c>
      <c r="F173" t="s">
        <v>48</v>
      </c>
      <c r="G173" t="s">
        <v>117</v>
      </c>
      <c r="H173" t="s">
        <v>779</v>
      </c>
      <c r="I173" t="s">
        <v>15</v>
      </c>
      <c r="J173" t="s">
        <v>21</v>
      </c>
      <c r="K173" t="s">
        <v>22</v>
      </c>
      <c r="L173">
        <f>BDP($H173,"BICS_LEVEL_1_SECTOR_NAME")</f>
        <v/>
      </c>
      <c r="M173">
        <f>BDP($H173,"BICS_LEVEL_3_INDUSTRY_NAME")</f>
        <v/>
      </c>
    </row>
    <row r="174" spans="1:13">
      <c r="A174" t="s">
        <v>780</v>
      </c>
      <c r="B174" t="s">
        <v>14</v>
      </c>
      <c r="C174" t="s">
        <v>15</v>
      </c>
      <c r="D174" t="s">
        <v>781</v>
      </c>
      <c r="E174" t="s">
        <v>782</v>
      </c>
      <c r="F174" t="s">
        <v>26</v>
      </c>
      <c r="G174" t="s">
        <v>37</v>
      </c>
      <c r="H174" t="s">
        <v>783</v>
      </c>
      <c r="I174" t="s">
        <v>15</v>
      </c>
      <c r="J174" t="s">
        <v>21</v>
      </c>
      <c r="K174" t="s">
        <v>22</v>
      </c>
      <c r="L174">
        <f>BDP($H174,"BICS_LEVEL_1_SECTOR_NAME")</f>
        <v/>
      </c>
      <c r="M174">
        <f>BDP($H174,"BICS_LEVEL_3_INDUSTRY_NAME")</f>
        <v/>
      </c>
    </row>
    <row r="175" spans="1:13">
      <c r="A175" t="s">
        <v>784</v>
      </c>
      <c r="B175" t="s">
        <v>14</v>
      </c>
      <c r="C175" t="s">
        <v>15</v>
      </c>
      <c r="D175" t="s">
        <v>785</v>
      </c>
      <c r="E175" t="s">
        <v>786</v>
      </c>
      <c r="F175" t="s">
        <v>207</v>
      </c>
      <c r="G175" t="s">
        <v>208</v>
      </c>
      <c r="H175" t="s">
        <v>787</v>
      </c>
      <c r="I175" t="s">
        <v>15</v>
      </c>
      <c r="J175" t="s">
        <v>21</v>
      </c>
      <c r="K175" t="s">
        <v>22</v>
      </c>
      <c r="L175">
        <f>BDP($H175,"BICS_LEVEL_1_SECTOR_NAME")</f>
        <v/>
      </c>
      <c r="M175">
        <f>BDP($H175,"BICS_LEVEL_3_INDUSTRY_NAME")</f>
        <v/>
      </c>
    </row>
    <row r="176" spans="1:13">
      <c r="A176" t="s">
        <v>788</v>
      </c>
      <c r="B176" t="s">
        <v>14</v>
      </c>
      <c r="C176" t="s">
        <v>15</v>
      </c>
      <c r="D176" t="s">
        <v>789</v>
      </c>
      <c r="E176" t="s">
        <v>790</v>
      </c>
      <c r="F176" t="s">
        <v>26</v>
      </c>
      <c r="G176" t="s">
        <v>37</v>
      </c>
      <c r="H176" t="s">
        <v>791</v>
      </c>
      <c r="I176" t="s">
        <v>15</v>
      </c>
      <c r="J176" t="s">
        <v>21</v>
      </c>
      <c r="K176" t="s">
        <v>22</v>
      </c>
      <c r="L176">
        <f>BDP($H176,"BICS_LEVEL_1_SECTOR_NAME")</f>
        <v/>
      </c>
      <c r="M176">
        <f>BDP($H176,"BICS_LEVEL_3_INDUSTRY_NAME")</f>
        <v/>
      </c>
    </row>
    <row r="177" spans="1:13">
      <c r="A177" t="s">
        <v>792</v>
      </c>
      <c r="B177" t="s">
        <v>14</v>
      </c>
      <c r="C177" t="s">
        <v>15</v>
      </c>
      <c r="D177" t="s">
        <v>793</v>
      </c>
      <c r="E177" t="s">
        <v>794</v>
      </c>
      <c r="F177" t="s">
        <v>26</v>
      </c>
      <c r="G177" t="s">
        <v>37</v>
      </c>
      <c r="H177" t="s">
        <v>795</v>
      </c>
      <c r="I177" t="s">
        <v>15</v>
      </c>
      <c r="J177" t="s">
        <v>21</v>
      </c>
      <c r="K177" t="s">
        <v>22</v>
      </c>
      <c r="L177">
        <f>BDP($H177,"BICS_LEVEL_1_SECTOR_NAME")</f>
        <v/>
      </c>
      <c r="M177">
        <f>BDP($H177,"BICS_LEVEL_3_INDUSTRY_NAME")</f>
        <v/>
      </c>
    </row>
    <row r="178" spans="1:13">
      <c r="A178" t="s">
        <v>796</v>
      </c>
      <c r="B178" t="s">
        <v>14</v>
      </c>
      <c r="C178" t="s">
        <v>15</v>
      </c>
      <c r="D178" t="s">
        <v>797</v>
      </c>
      <c r="E178" t="s">
        <v>798</v>
      </c>
      <c r="F178" t="s">
        <v>48</v>
      </c>
      <c r="G178" t="s">
        <v>799</v>
      </c>
      <c r="H178" t="s">
        <v>800</v>
      </c>
      <c r="I178" t="s">
        <v>15</v>
      </c>
      <c r="J178" t="s">
        <v>21</v>
      </c>
      <c r="K178" t="s">
        <v>22</v>
      </c>
      <c r="L178">
        <f>BDP($H178,"BICS_LEVEL_1_SECTOR_NAME")</f>
        <v/>
      </c>
      <c r="M178">
        <f>BDP($H178,"BICS_LEVEL_3_INDUSTRY_NAME")</f>
        <v/>
      </c>
    </row>
    <row r="179" spans="1:13">
      <c r="A179" t="s">
        <v>801</v>
      </c>
      <c r="B179" t="s">
        <v>14</v>
      </c>
      <c r="C179" t="s">
        <v>15</v>
      </c>
      <c r="D179" t="s">
        <v>802</v>
      </c>
      <c r="E179" t="s">
        <v>803</v>
      </c>
      <c r="F179" t="s">
        <v>48</v>
      </c>
      <c r="G179" t="s">
        <v>198</v>
      </c>
      <c r="H179" t="s">
        <v>804</v>
      </c>
      <c r="I179" t="s">
        <v>15</v>
      </c>
      <c r="J179" t="s">
        <v>21</v>
      </c>
      <c r="K179" t="s">
        <v>22</v>
      </c>
      <c r="L179">
        <f>BDP($H179,"BICS_LEVEL_1_SECTOR_NAME")</f>
        <v/>
      </c>
      <c r="M179">
        <f>BDP($H179,"BICS_LEVEL_3_INDUSTRY_NAME")</f>
        <v/>
      </c>
    </row>
    <row r="180" spans="1:13">
      <c r="A180" t="s">
        <v>805</v>
      </c>
      <c r="B180" t="s">
        <v>14</v>
      </c>
      <c r="C180" t="s">
        <v>15</v>
      </c>
      <c r="D180" t="s">
        <v>806</v>
      </c>
      <c r="E180" t="s">
        <v>807</v>
      </c>
      <c r="F180" t="s">
        <v>18</v>
      </c>
      <c r="G180" t="s">
        <v>261</v>
      </c>
      <c r="H180" t="s">
        <v>808</v>
      </c>
      <c r="I180" t="s">
        <v>15</v>
      </c>
      <c r="J180" t="s">
        <v>21</v>
      </c>
      <c r="K180" t="s">
        <v>22</v>
      </c>
      <c r="L180">
        <f>BDP($H180,"BICS_LEVEL_1_SECTOR_NAME")</f>
        <v/>
      </c>
      <c r="M180">
        <f>BDP($H180,"BICS_LEVEL_3_INDUSTRY_NAME")</f>
        <v/>
      </c>
    </row>
    <row r="181" spans="1:13">
      <c r="A181" t="s">
        <v>809</v>
      </c>
      <c r="B181" t="s">
        <v>14</v>
      </c>
      <c r="C181" t="s">
        <v>15</v>
      </c>
      <c r="D181" t="s">
        <v>810</v>
      </c>
      <c r="E181" t="s">
        <v>811</v>
      </c>
      <c r="F181" t="s">
        <v>48</v>
      </c>
      <c r="G181" t="s">
        <v>311</v>
      </c>
      <c r="H181" t="s">
        <v>812</v>
      </c>
      <c r="I181" t="s">
        <v>15</v>
      </c>
      <c r="J181" t="s">
        <v>21</v>
      </c>
      <c r="K181" t="s">
        <v>22</v>
      </c>
      <c r="L181">
        <f>BDP($H181,"BICS_LEVEL_1_SECTOR_NAME")</f>
        <v/>
      </c>
      <c r="M181">
        <f>BDP($H181,"BICS_LEVEL_3_INDUSTRY_NAME")</f>
        <v/>
      </c>
    </row>
    <row r="182" spans="1:13">
      <c r="A182" t="s">
        <v>813</v>
      </c>
      <c r="B182" t="s">
        <v>14</v>
      </c>
      <c r="C182" t="s">
        <v>15</v>
      </c>
      <c r="D182" t="s">
        <v>814</v>
      </c>
      <c r="E182" t="s">
        <v>815</v>
      </c>
      <c r="F182" t="s">
        <v>48</v>
      </c>
      <c r="G182" t="s">
        <v>546</v>
      </c>
      <c r="H182" t="s">
        <v>816</v>
      </c>
      <c r="I182" t="s">
        <v>15</v>
      </c>
      <c r="J182" t="s">
        <v>21</v>
      </c>
      <c r="K182" t="s">
        <v>22</v>
      </c>
      <c r="L182">
        <f>BDP($H182,"BICS_LEVEL_1_SECTOR_NAME")</f>
        <v/>
      </c>
      <c r="M182">
        <f>BDP($H182,"BICS_LEVEL_3_INDUSTRY_NAME")</f>
        <v/>
      </c>
    </row>
    <row r="183" spans="1:13">
      <c r="A183" t="s">
        <v>817</v>
      </c>
      <c r="B183" t="s">
        <v>14</v>
      </c>
      <c r="C183" t="s">
        <v>15</v>
      </c>
      <c r="D183" t="s">
        <v>818</v>
      </c>
      <c r="E183" t="s">
        <v>819</v>
      </c>
      <c r="F183" t="s">
        <v>48</v>
      </c>
      <c r="G183" t="s">
        <v>546</v>
      </c>
      <c r="H183" t="s">
        <v>820</v>
      </c>
      <c r="I183" t="s">
        <v>15</v>
      </c>
      <c r="J183" t="s">
        <v>21</v>
      </c>
      <c r="K183" t="s">
        <v>22</v>
      </c>
      <c r="L183">
        <f>BDP($H183,"BICS_LEVEL_1_SECTOR_NAME")</f>
        <v/>
      </c>
      <c r="M183">
        <f>BDP($H183,"BICS_LEVEL_3_INDUSTRY_NAME")</f>
        <v/>
      </c>
    </row>
    <row r="184" spans="1:13">
      <c r="A184" t="s">
        <v>821</v>
      </c>
      <c r="B184" t="s">
        <v>14</v>
      </c>
      <c r="C184" t="s">
        <v>15</v>
      </c>
      <c r="D184" t="s">
        <v>822</v>
      </c>
      <c r="E184" t="s">
        <v>823</v>
      </c>
      <c r="F184" t="s">
        <v>18</v>
      </c>
      <c r="G184" t="s">
        <v>633</v>
      </c>
      <c r="H184" t="s">
        <v>824</v>
      </c>
      <c r="I184" t="s">
        <v>15</v>
      </c>
      <c r="J184" t="s">
        <v>21</v>
      </c>
      <c r="K184" t="s">
        <v>22</v>
      </c>
      <c r="L184">
        <f>BDP($H184,"BICS_LEVEL_1_SECTOR_NAME")</f>
        <v/>
      </c>
      <c r="M184">
        <f>BDP($H184,"BICS_LEVEL_3_INDUSTRY_NAME")</f>
        <v/>
      </c>
    </row>
    <row r="185" spans="1:13">
      <c r="A185" t="s">
        <v>825</v>
      </c>
      <c r="B185" t="s">
        <v>14</v>
      </c>
      <c r="C185" t="s">
        <v>15</v>
      </c>
      <c r="D185" t="s">
        <v>826</v>
      </c>
      <c r="E185" t="s">
        <v>827</v>
      </c>
      <c r="F185" t="s">
        <v>18</v>
      </c>
      <c r="G185" t="s">
        <v>32</v>
      </c>
      <c r="H185" t="s">
        <v>828</v>
      </c>
      <c r="I185" t="s">
        <v>15</v>
      </c>
      <c r="J185" t="s">
        <v>21</v>
      </c>
      <c r="K185" t="s">
        <v>22</v>
      </c>
      <c r="L185">
        <f>BDP($H185,"BICS_LEVEL_1_SECTOR_NAME")</f>
        <v/>
      </c>
      <c r="M185">
        <f>BDP($H185,"BICS_LEVEL_3_INDUSTRY_NAME")</f>
        <v/>
      </c>
    </row>
    <row r="186" spans="1:13">
      <c r="A186" t="s">
        <v>829</v>
      </c>
      <c r="B186" t="s">
        <v>14</v>
      </c>
      <c r="C186" t="s">
        <v>15</v>
      </c>
      <c r="D186" t="s">
        <v>830</v>
      </c>
      <c r="E186" t="s">
        <v>831</v>
      </c>
      <c r="F186" t="s">
        <v>48</v>
      </c>
      <c r="G186" t="s">
        <v>546</v>
      </c>
      <c r="H186" t="s">
        <v>832</v>
      </c>
      <c r="I186" t="s">
        <v>15</v>
      </c>
      <c r="J186" t="s">
        <v>21</v>
      </c>
      <c r="K186" t="s">
        <v>22</v>
      </c>
      <c r="L186">
        <f>BDP($H186,"BICS_LEVEL_1_SECTOR_NAME")</f>
        <v/>
      </c>
      <c r="M186">
        <f>BDP($H186,"BICS_LEVEL_3_INDUSTRY_NAME")</f>
        <v/>
      </c>
    </row>
    <row r="187" spans="1:13">
      <c r="A187" t="s">
        <v>833</v>
      </c>
      <c r="B187" t="s">
        <v>14</v>
      </c>
      <c r="C187" t="s">
        <v>15</v>
      </c>
      <c r="D187" t="s">
        <v>834</v>
      </c>
      <c r="E187" t="s">
        <v>835</v>
      </c>
      <c r="F187" t="s">
        <v>42</v>
      </c>
      <c r="G187" t="s">
        <v>43</v>
      </c>
      <c r="H187" t="s">
        <v>836</v>
      </c>
      <c r="I187" t="s">
        <v>15</v>
      </c>
      <c r="J187" t="s">
        <v>21</v>
      </c>
      <c r="K187" t="s">
        <v>22</v>
      </c>
      <c r="L187">
        <f>BDP($H187,"BICS_LEVEL_1_SECTOR_NAME")</f>
        <v/>
      </c>
      <c r="M187">
        <f>BDP($H187,"BICS_LEVEL_3_INDUSTRY_NAME")</f>
        <v/>
      </c>
    </row>
    <row r="188" spans="1:13">
      <c r="A188" t="s">
        <v>837</v>
      </c>
      <c r="B188" t="s">
        <v>14</v>
      </c>
      <c r="C188" t="s">
        <v>15</v>
      </c>
      <c r="D188" t="s">
        <v>838</v>
      </c>
      <c r="E188" t="s">
        <v>839</v>
      </c>
      <c r="F188" t="s">
        <v>48</v>
      </c>
      <c r="G188" t="s">
        <v>840</v>
      </c>
      <c r="H188" t="s">
        <v>841</v>
      </c>
      <c r="I188" t="s">
        <v>15</v>
      </c>
      <c r="J188" t="s">
        <v>21</v>
      </c>
      <c r="K188" t="s">
        <v>22</v>
      </c>
      <c r="L188">
        <f>BDP($H188,"BICS_LEVEL_1_SECTOR_NAME")</f>
        <v/>
      </c>
      <c r="M188">
        <f>BDP($H188,"BICS_LEVEL_3_INDUSTRY_NAME")</f>
        <v/>
      </c>
    </row>
    <row r="189" spans="1:13">
      <c r="A189" t="s">
        <v>842</v>
      </c>
      <c r="B189" t="s">
        <v>14</v>
      </c>
      <c r="C189" t="s">
        <v>15</v>
      </c>
      <c r="D189" t="s">
        <v>843</v>
      </c>
      <c r="E189" t="s">
        <v>844</v>
      </c>
      <c r="F189" t="s">
        <v>392</v>
      </c>
      <c r="G189" t="s">
        <v>845</v>
      </c>
      <c r="H189" t="s">
        <v>846</v>
      </c>
      <c r="I189" t="s">
        <v>15</v>
      </c>
      <c r="J189" t="s">
        <v>21</v>
      </c>
      <c r="K189" t="s">
        <v>22</v>
      </c>
      <c r="L189">
        <f>BDP($H189,"BICS_LEVEL_1_SECTOR_NAME")</f>
        <v/>
      </c>
      <c r="M189">
        <f>BDP($H189,"BICS_LEVEL_3_INDUSTRY_NAME")</f>
        <v/>
      </c>
    </row>
    <row r="190" spans="1:13">
      <c r="A190" t="s">
        <v>847</v>
      </c>
      <c r="B190" t="s">
        <v>14</v>
      </c>
      <c r="C190" t="s">
        <v>15</v>
      </c>
      <c r="D190" t="s">
        <v>848</v>
      </c>
      <c r="E190" t="s">
        <v>849</v>
      </c>
      <c r="F190" t="s">
        <v>392</v>
      </c>
      <c r="G190" t="s">
        <v>845</v>
      </c>
      <c r="H190" t="s">
        <v>850</v>
      </c>
      <c r="I190" t="s">
        <v>15</v>
      </c>
      <c r="J190" t="s">
        <v>21</v>
      </c>
      <c r="K190" t="s">
        <v>22</v>
      </c>
      <c r="L190">
        <f>BDP($H190,"BICS_LEVEL_1_SECTOR_NAME")</f>
        <v/>
      </c>
      <c r="M190">
        <f>BDP($H190,"BICS_LEVEL_3_INDUSTRY_NAME")</f>
        <v/>
      </c>
    </row>
    <row r="191" spans="1:13">
      <c r="A191" t="s">
        <v>851</v>
      </c>
      <c r="B191" t="s">
        <v>14</v>
      </c>
      <c r="C191" t="s">
        <v>15</v>
      </c>
      <c r="D191" t="s">
        <v>852</v>
      </c>
      <c r="E191" t="s">
        <v>853</v>
      </c>
      <c r="F191" t="s">
        <v>26</v>
      </c>
      <c r="G191" t="s">
        <v>134</v>
      </c>
      <c r="H191" t="s">
        <v>854</v>
      </c>
      <c r="I191" t="s">
        <v>15</v>
      </c>
      <c r="J191" t="s">
        <v>21</v>
      </c>
      <c r="K191" t="s">
        <v>22</v>
      </c>
      <c r="L191">
        <f>BDP($H191,"BICS_LEVEL_1_SECTOR_NAME")</f>
        <v/>
      </c>
      <c r="M191">
        <f>BDP($H191,"BICS_LEVEL_3_INDUSTRY_NAME")</f>
        <v/>
      </c>
    </row>
    <row r="192" spans="1:13">
      <c r="A192" t="s">
        <v>855</v>
      </c>
      <c r="B192" t="s">
        <v>14</v>
      </c>
      <c r="C192" t="s">
        <v>15</v>
      </c>
      <c r="D192" t="s">
        <v>856</v>
      </c>
      <c r="E192" t="s">
        <v>857</v>
      </c>
      <c r="F192" t="s">
        <v>26</v>
      </c>
      <c r="G192" t="s">
        <v>37</v>
      </c>
      <c r="H192" t="s">
        <v>858</v>
      </c>
      <c r="I192" t="s">
        <v>15</v>
      </c>
      <c r="J192" t="s">
        <v>21</v>
      </c>
      <c r="K192" t="s">
        <v>22</v>
      </c>
      <c r="L192">
        <f>BDP($H192,"BICS_LEVEL_1_SECTOR_NAME")</f>
        <v/>
      </c>
      <c r="M192">
        <f>BDP($H192,"BICS_LEVEL_3_INDUSTRY_NAME")</f>
        <v/>
      </c>
    </row>
    <row r="193" spans="1:13">
      <c r="A193" t="s">
        <v>859</v>
      </c>
      <c r="B193" t="s">
        <v>14</v>
      </c>
      <c r="C193" t="s">
        <v>15</v>
      </c>
      <c r="D193" t="s">
        <v>860</v>
      </c>
      <c r="E193" t="s">
        <v>861</v>
      </c>
      <c r="F193" t="s">
        <v>26</v>
      </c>
      <c r="G193" t="s">
        <v>37</v>
      </c>
      <c r="H193" t="s">
        <v>862</v>
      </c>
      <c r="I193" t="s">
        <v>15</v>
      </c>
      <c r="J193" t="s">
        <v>21</v>
      </c>
      <c r="K193" t="s">
        <v>22</v>
      </c>
      <c r="L193">
        <f>BDP($H193,"BICS_LEVEL_1_SECTOR_NAME")</f>
        <v/>
      </c>
      <c r="M193">
        <f>BDP($H193,"BICS_LEVEL_3_INDUSTRY_NAME")</f>
        <v/>
      </c>
    </row>
    <row r="194" spans="1:13">
      <c r="A194" t="s">
        <v>863</v>
      </c>
      <c r="B194" t="s">
        <v>14</v>
      </c>
      <c r="C194" t="s">
        <v>15</v>
      </c>
      <c r="D194" t="s">
        <v>864</v>
      </c>
      <c r="E194" t="s">
        <v>865</v>
      </c>
      <c r="F194" t="s">
        <v>26</v>
      </c>
      <c r="G194" t="s">
        <v>175</v>
      </c>
      <c r="H194" t="s">
        <v>866</v>
      </c>
      <c r="I194" t="s">
        <v>15</v>
      </c>
      <c r="J194" t="s">
        <v>21</v>
      </c>
      <c r="K194" t="s">
        <v>22</v>
      </c>
      <c r="L194">
        <f>BDP($H194,"BICS_LEVEL_1_SECTOR_NAME")</f>
        <v/>
      </c>
      <c r="M194">
        <f>BDP($H194,"BICS_LEVEL_3_INDUSTRY_NAME")</f>
        <v/>
      </c>
    </row>
    <row r="195" spans="1:13">
      <c r="A195" t="s">
        <v>867</v>
      </c>
      <c r="B195" t="s">
        <v>14</v>
      </c>
      <c r="C195" t="s">
        <v>15</v>
      </c>
      <c r="D195" t="s">
        <v>868</v>
      </c>
      <c r="E195" t="s">
        <v>869</v>
      </c>
      <c r="F195" t="s">
        <v>18</v>
      </c>
      <c r="G195" t="s">
        <v>19</v>
      </c>
      <c r="H195" t="s">
        <v>870</v>
      </c>
      <c r="I195" t="s">
        <v>15</v>
      </c>
      <c r="J195" t="s">
        <v>21</v>
      </c>
      <c r="K195" t="s">
        <v>22</v>
      </c>
      <c r="L195">
        <f>BDP($H195,"BICS_LEVEL_1_SECTOR_NAME")</f>
        <v/>
      </c>
      <c r="M195">
        <f>BDP($H195,"BICS_LEVEL_3_INDUSTRY_NAME")</f>
        <v/>
      </c>
    </row>
    <row r="196" spans="1:13">
      <c r="A196" t="s">
        <v>871</v>
      </c>
      <c r="B196" t="s">
        <v>14</v>
      </c>
      <c r="C196" t="s">
        <v>15</v>
      </c>
      <c r="D196" t="s">
        <v>872</v>
      </c>
      <c r="E196" t="s">
        <v>873</v>
      </c>
      <c r="F196" t="s">
        <v>18</v>
      </c>
      <c r="G196" t="s">
        <v>344</v>
      </c>
      <c r="H196" t="s">
        <v>874</v>
      </c>
      <c r="I196" t="s">
        <v>15</v>
      </c>
      <c r="J196" t="s">
        <v>21</v>
      </c>
      <c r="K196" t="s">
        <v>22</v>
      </c>
      <c r="L196">
        <f>BDP($H196,"BICS_LEVEL_1_SECTOR_NAME")</f>
        <v/>
      </c>
      <c r="M196">
        <f>BDP($H196,"BICS_LEVEL_3_INDUSTRY_NAME")</f>
        <v/>
      </c>
    </row>
    <row r="197" spans="1:13">
      <c r="A197" t="s">
        <v>875</v>
      </c>
      <c r="B197" t="s">
        <v>14</v>
      </c>
      <c r="C197" t="s">
        <v>15</v>
      </c>
      <c r="D197" t="s">
        <v>876</v>
      </c>
      <c r="E197" t="s">
        <v>877</v>
      </c>
      <c r="F197" t="s">
        <v>392</v>
      </c>
      <c r="G197" t="s">
        <v>878</v>
      </c>
      <c r="H197" t="s">
        <v>879</v>
      </c>
      <c r="I197" t="s">
        <v>15</v>
      </c>
      <c r="J197" t="s">
        <v>21</v>
      </c>
      <c r="K197" t="s">
        <v>22</v>
      </c>
      <c r="L197">
        <f>BDP($H197,"BICS_LEVEL_1_SECTOR_NAME")</f>
        <v/>
      </c>
      <c r="M197">
        <f>BDP($H197,"BICS_LEVEL_3_INDUSTRY_NAME")</f>
        <v/>
      </c>
    </row>
    <row r="198" spans="1:13">
      <c r="A198" t="s">
        <v>880</v>
      </c>
      <c r="B198" t="s">
        <v>14</v>
      </c>
      <c r="C198" t="s">
        <v>15</v>
      </c>
      <c r="D198" t="s">
        <v>881</v>
      </c>
      <c r="E198" t="s">
        <v>882</v>
      </c>
      <c r="F198" t="s">
        <v>48</v>
      </c>
      <c r="G198" t="s">
        <v>63</v>
      </c>
      <c r="H198" t="s">
        <v>883</v>
      </c>
      <c r="I198" t="s">
        <v>15</v>
      </c>
      <c r="J198" t="s">
        <v>21</v>
      </c>
      <c r="K198" t="s">
        <v>22</v>
      </c>
      <c r="L198">
        <f>BDP($H198,"BICS_LEVEL_1_SECTOR_NAME")</f>
        <v/>
      </c>
      <c r="M198">
        <f>BDP($H198,"BICS_LEVEL_3_INDUSTRY_NAME")</f>
        <v/>
      </c>
    </row>
    <row r="199" spans="1:13">
      <c r="A199" t="s">
        <v>884</v>
      </c>
      <c r="B199" t="s">
        <v>14</v>
      </c>
      <c r="C199" t="s">
        <v>15</v>
      </c>
      <c r="D199" t="s">
        <v>885</v>
      </c>
      <c r="E199" t="s">
        <v>886</v>
      </c>
      <c r="F199" t="s">
        <v>392</v>
      </c>
      <c r="G199" t="s">
        <v>887</v>
      </c>
      <c r="H199" t="s">
        <v>888</v>
      </c>
      <c r="I199" t="s">
        <v>15</v>
      </c>
      <c r="J199" t="s">
        <v>21</v>
      </c>
      <c r="K199" t="s">
        <v>22</v>
      </c>
      <c r="L199">
        <f>BDP($H199,"BICS_LEVEL_1_SECTOR_NAME")</f>
        <v/>
      </c>
      <c r="M199">
        <f>BDP($H199,"BICS_LEVEL_3_INDUSTRY_NAME")</f>
        <v/>
      </c>
    </row>
    <row r="200" spans="1:13">
      <c r="A200" t="s">
        <v>889</v>
      </c>
      <c r="B200" t="s">
        <v>14</v>
      </c>
      <c r="C200" t="s">
        <v>15</v>
      </c>
      <c r="D200" t="s">
        <v>890</v>
      </c>
      <c r="E200" t="s">
        <v>891</v>
      </c>
      <c r="F200" t="s">
        <v>48</v>
      </c>
      <c r="G200" t="s">
        <v>198</v>
      </c>
      <c r="H200" t="s">
        <v>892</v>
      </c>
      <c r="I200" t="s">
        <v>15</v>
      </c>
      <c r="J200" t="s">
        <v>21</v>
      </c>
      <c r="K200" t="s">
        <v>22</v>
      </c>
      <c r="L200">
        <f>BDP($H200,"BICS_LEVEL_1_SECTOR_NAME")</f>
        <v/>
      </c>
      <c r="M200">
        <f>BDP($H200,"BICS_LEVEL_3_INDUSTRY_NAME")</f>
        <v/>
      </c>
    </row>
    <row r="201" spans="1:13">
      <c r="A201" t="s">
        <v>893</v>
      </c>
      <c r="B201" t="s">
        <v>14</v>
      </c>
      <c r="C201" t="s">
        <v>15</v>
      </c>
      <c r="D201" t="s">
        <v>894</v>
      </c>
      <c r="E201" t="s">
        <v>895</v>
      </c>
      <c r="F201" t="s">
        <v>48</v>
      </c>
      <c r="G201" t="s">
        <v>713</v>
      </c>
      <c r="H201" t="s">
        <v>896</v>
      </c>
      <c r="I201" t="s">
        <v>15</v>
      </c>
      <c r="J201" t="s">
        <v>21</v>
      </c>
      <c r="K201" t="s">
        <v>22</v>
      </c>
      <c r="L201">
        <f>BDP($H201,"BICS_LEVEL_1_SECTOR_NAME")</f>
        <v/>
      </c>
      <c r="M201">
        <f>BDP($H201,"BICS_LEVEL_3_INDUSTRY_NAME")</f>
        <v/>
      </c>
    </row>
    <row r="202" spans="1:13">
      <c r="A202" t="s">
        <v>897</v>
      </c>
      <c r="B202" t="s">
        <v>14</v>
      </c>
      <c r="C202" t="s">
        <v>15</v>
      </c>
      <c r="D202" t="s">
        <v>898</v>
      </c>
      <c r="E202" t="s">
        <v>899</v>
      </c>
      <c r="F202" t="s">
        <v>48</v>
      </c>
      <c r="G202" t="s">
        <v>900</v>
      </c>
      <c r="H202" t="s">
        <v>901</v>
      </c>
      <c r="I202" t="s">
        <v>15</v>
      </c>
      <c r="J202" t="s">
        <v>21</v>
      </c>
      <c r="K202" t="s">
        <v>22</v>
      </c>
      <c r="L202">
        <f>BDP($H202,"BICS_LEVEL_1_SECTOR_NAME")</f>
        <v/>
      </c>
      <c r="M202">
        <f>BDP($H202,"BICS_LEVEL_3_INDUSTRY_NAME")</f>
        <v/>
      </c>
    </row>
    <row r="203" spans="1:13">
      <c r="A203" t="s">
        <v>902</v>
      </c>
      <c r="B203" t="s">
        <v>14</v>
      </c>
      <c r="C203" t="s">
        <v>15</v>
      </c>
      <c r="D203" t="s">
        <v>903</v>
      </c>
      <c r="E203" t="s">
        <v>904</v>
      </c>
      <c r="F203" t="s">
        <v>26</v>
      </c>
      <c r="G203" t="s">
        <v>134</v>
      </c>
      <c r="H203" t="s">
        <v>905</v>
      </c>
      <c r="I203" t="s">
        <v>15</v>
      </c>
      <c r="J203" t="s">
        <v>21</v>
      </c>
      <c r="K203" t="s">
        <v>22</v>
      </c>
      <c r="L203">
        <f>BDP($H203,"BICS_LEVEL_1_SECTOR_NAME")</f>
        <v/>
      </c>
      <c r="M203">
        <f>BDP($H203,"BICS_LEVEL_3_INDUSTRY_NAME")</f>
        <v/>
      </c>
    </row>
    <row r="204" spans="1:13">
      <c r="A204" t="s">
        <v>906</v>
      </c>
      <c r="B204" t="s">
        <v>14</v>
      </c>
      <c r="C204" t="s">
        <v>15</v>
      </c>
      <c r="D204" t="s">
        <v>907</v>
      </c>
      <c r="E204" t="s">
        <v>908</v>
      </c>
      <c r="F204" t="s">
        <v>48</v>
      </c>
      <c r="G204" t="s">
        <v>909</v>
      </c>
      <c r="H204" t="s">
        <v>910</v>
      </c>
      <c r="I204" t="s">
        <v>15</v>
      </c>
      <c r="J204" t="s">
        <v>21</v>
      </c>
      <c r="K204" t="s">
        <v>22</v>
      </c>
      <c r="L204">
        <f>BDP($H204,"BICS_LEVEL_1_SECTOR_NAME")</f>
        <v/>
      </c>
      <c r="M204">
        <f>BDP($H204,"BICS_LEVEL_3_INDUSTRY_NAME")</f>
        <v/>
      </c>
    </row>
    <row r="205" spans="1:13">
      <c r="A205" t="s">
        <v>911</v>
      </c>
      <c r="B205" t="s">
        <v>14</v>
      </c>
      <c r="C205" t="s">
        <v>15</v>
      </c>
      <c r="D205" t="s">
        <v>912</v>
      </c>
      <c r="E205" t="s">
        <v>913</v>
      </c>
      <c r="F205" t="s">
        <v>18</v>
      </c>
      <c r="G205" t="s">
        <v>375</v>
      </c>
      <c r="H205" t="s">
        <v>914</v>
      </c>
      <c r="I205" t="s">
        <v>15</v>
      </c>
      <c r="J205" t="s">
        <v>21</v>
      </c>
      <c r="K205" t="s">
        <v>22</v>
      </c>
      <c r="L205">
        <f>BDP($H205,"BICS_LEVEL_1_SECTOR_NAME")</f>
        <v/>
      </c>
      <c r="M205">
        <f>BDP($H205,"BICS_LEVEL_3_INDUSTRY_NAME")</f>
        <v/>
      </c>
    </row>
    <row r="206" spans="1:13">
      <c r="A206" t="s">
        <v>915</v>
      </c>
      <c r="B206" t="s">
        <v>14</v>
      </c>
      <c r="C206" t="s">
        <v>15</v>
      </c>
      <c r="D206" t="s">
        <v>916</v>
      </c>
      <c r="E206" t="s">
        <v>917</v>
      </c>
      <c r="F206" t="s">
        <v>26</v>
      </c>
      <c r="G206" t="s">
        <v>37</v>
      </c>
      <c r="H206" t="s">
        <v>918</v>
      </c>
      <c r="I206" t="s">
        <v>15</v>
      </c>
      <c r="J206" t="s">
        <v>21</v>
      </c>
      <c r="K206" t="s">
        <v>22</v>
      </c>
      <c r="L206">
        <f>BDP($H206,"BICS_LEVEL_1_SECTOR_NAME")</f>
        <v/>
      </c>
      <c r="M206">
        <f>BDP($H206,"BICS_LEVEL_3_INDUSTRY_NAME")</f>
        <v/>
      </c>
    </row>
    <row r="207" spans="1:13">
      <c r="A207" t="s">
        <v>919</v>
      </c>
      <c r="B207" t="s">
        <v>14</v>
      </c>
      <c r="C207" t="s">
        <v>15</v>
      </c>
      <c r="D207" t="s">
        <v>920</v>
      </c>
      <c r="E207" t="s">
        <v>921</v>
      </c>
      <c r="F207" t="s">
        <v>26</v>
      </c>
      <c r="G207" t="s">
        <v>134</v>
      </c>
      <c r="H207" t="s">
        <v>922</v>
      </c>
      <c r="I207" t="s">
        <v>15</v>
      </c>
      <c r="J207" t="s">
        <v>21</v>
      </c>
      <c r="K207" t="s">
        <v>22</v>
      </c>
      <c r="L207">
        <f>BDP($H207,"BICS_LEVEL_1_SECTOR_NAME")</f>
        <v/>
      </c>
      <c r="M207">
        <f>BDP($H207,"BICS_LEVEL_3_INDUSTRY_NAME")</f>
        <v/>
      </c>
    </row>
    <row r="208" spans="1:13">
      <c r="A208" t="s">
        <v>923</v>
      </c>
      <c r="B208" t="s">
        <v>14</v>
      </c>
      <c r="C208" t="s">
        <v>15</v>
      </c>
      <c r="D208" t="s">
        <v>924</v>
      </c>
      <c r="E208" t="s">
        <v>925</v>
      </c>
      <c r="F208" t="s">
        <v>26</v>
      </c>
      <c r="G208" t="s">
        <v>926</v>
      </c>
      <c r="H208" t="s">
        <v>927</v>
      </c>
      <c r="I208" t="s">
        <v>15</v>
      </c>
      <c r="J208" t="s">
        <v>21</v>
      </c>
      <c r="K208" t="s">
        <v>22</v>
      </c>
      <c r="L208">
        <f>BDP($H208,"BICS_LEVEL_1_SECTOR_NAME")</f>
        <v/>
      </c>
      <c r="M208">
        <f>BDP($H208,"BICS_LEVEL_3_INDUSTRY_NAME")</f>
        <v/>
      </c>
    </row>
    <row r="209" spans="1:13">
      <c r="A209" t="s">
        <v>928</v>
      </c>
      <c r="B209" t="s">
        <v>14</v>
      </c>
      <c r="C209" t="s">
        <v>15</v>
      </c>
      <c r="D209" t="s">
        <v>929</v>
      </c>
      <c r="E209" t="s">
        <v>930</v>
      </c>
      <c r="F209" t="s">
        <v>48</v>
      </c>
      <c r="G209" t="s">
        <v>193</v>
      </c>
      <c r="H209" t="s">
        <v>931</v>
      </c>
      <c r="I209" t="s">
        <v>15</v>
      </c>
      <c r="J209" t="s">
        <v>21</v>
      </c>
      <c r="K209" t="s">
        <v>22</v>
      </c>
      <c r="L209">
        <f>BDP($H209,"BICS_LEVEL_1_SECTOR_NAME")</f>
        <v/>
      </c>
      <c r="M209">
        <f>BDP($H209,"BICS_LEVEL_3_INDUSTRY_NAME")</f>
        <v/>
      </c>
    </row>
    <row r="210" spans="1:13">
      <c r="A210" t="s">
        <v>932</v>
      </c>
      <c r="B210" t="s">
        <v>14</v>
      </c>
      <c r="C210" t="s">
        <v>15</v>
      </c>
      <c r="D210" t="s">
        <v>933</v>
      </c>
      <c r="E210" t="s">
        <v>934</v>
      </c>
      <c r="F210" t="s">
        <v>48</v>
      </c>
      <c r="G210" t="s">
        <v>198</v>
      </c>
      <c r="H210" t="s">
        <v>935</v>
      </c>
      <c r="I210" t="s">
        <v>15</v>
      </c>
      <c r="J210" t="s">
        <v>21</v>
      </c>
      <c r="K210" t="s">
        <v>22</v>
      </c>
      <c r="L210">
        <f>BDP($H210,"BICS_LEVEL_1_SECTOR_NAME")</f>
        <v/>
      </c>
      <c r="M210">
        <f>BDP($H210,"BICS_LEVEL_3_INDUSTRY_NAME")</f>
        <v/>
      </c>
    </row>
    <row r="211" spans="1:13">
      <c r="A211" t="s">
        <v>936</v>
      </c>
      <c r="B211" t="s">
        <v>14</v>
      </c>
      <c r="C211" t="s">
        <v>15</v>
      </c>
      <c r="D211" t="s">
        <v>937</v>
      </c>
      <c r="E211" t="s">
        <v>938</v>
      </c>
      <c r="F211" t="s">
        <v>42</v>
      </c>
      <c r="G211" t="s">
        <v>91</v>
      </c>
      <c r="H211" t="s">
        <v>939</v>
      </c>
      <c r="I211" t="s">
        <v>15</v>
      </c>
      <c r="J211" t="s">
        <v>21</v>
      </c>
      <c r="K211" t="s">
        <v>22</v>
      </c>
      <c r="L211">
        <f>BDP($H211,"BICS_LEVEL_1_SECTOR_NAME")</f>
        <v/>
      </c>
      <c r="M211">
        <f>BDP($H211,"BICS_LEVEL_3_INDUSTRY_NAME")</f>
        <v/>
      </c>
    </row>
    <row r="212" spans="1:13">
      <c r="A212" t="s">
        <v>940</v>
      </c>
      <c r="B212" t="s">
        <v>14</v>
      </c>
      <c r="C212" t="s">
        <v>15</v>
      </c>
      <c r="D212" t="s">
        <v>941</v>
      </c>
      <c r="E212" t="s">
        <v>942</v>
      </c>
      <c r="F212" t="s">
        <v>26</v>
      </c>
      <c r="G212" t="s">
        <v>943</v>
      </c>
      <c r="H212" t="s">
        <v>944</v>
      </c>
      <c r="I212" t="s">
        <v>15</v>
      </c>
      <c r="J212" t="s">
        <v>21</v>
      </c>
      <c r="K212" t="s">
        <v>22</v>
      </c>
      <c r="L212">
        <f>BDP($H212,"BICS_LEVEL_1_SECTOR_NAME")</f>
        <v/>
      </c>
      <c r="M212">
        <f>BDP($H212,"BICS_LEVEL_3_INDUSTRY_NAME")</f>
        <v/>
      </c>
    </row>
    <row r="213" spans="1:13">
      <c r="A213" t="s">
        <v>945</v>
      </c>
      <c r="B213" t="s">
        <v>14</v>
      </c>
      <c r="C213" t="s">
        <v>15</v>
      </c>
      <c r="D213" t="s">
        <v>946</v>
      </c>
      <c r="E213" t="s">
        <v>947</v>
      </c>
      <c r="F213" t="s">
        <v>213</v>
      </c>
      <c r="G213" t="s">
        <v>214</v>
      </c>
      <c r="H213" t="s">
        <v>948</v>
      </c>
      <c r="I213" t="s">
        <v>15</v>
      </c>
      <c r="J213" t="s">
        <v>21</v>
      </c>
      <c r="K213" t="s">
        <v>22</v>
      </c>
      <c r="L213">
        <f>BDP($H213,"BICS_LEVEL_1_SECTOR_NAME")</f>
        <v/>
      </c>
      <c r="M213">
        <f>BDP($H213,"BICS_LEVEL_3_INDUSTRY_NAME")</f>
        <v/>
      </c>
    </row>
    <row r="214" spans="1:13">
      <c r="A214" t="s">
        <v>949</v>
      </c>
      <c r="B214" t="s">
        <v>14</v>
      </c>
      <c r="C214" t="s">
        <v>15</v>
      </c>
      <c r="D214" t="s">
        <v>950</v>
      </c>
      <c r="E214" t="s">
        <v>951</v>
      </c>
      <c r="F214" t="s">
        <v>18</v>
      </c>
      <c r="G214" t="s">
        <v>188</v>
      </c>
      <c r="H214" t="s">
        <v>952</v>
      </c>
      <c r="I214" t="s">
        <v>15</v>
      </c>
      <c r="J214" t="s">
        <v>21</v>
      </c>
      <c r="K214" t="s">
        <v>22</v>
      </c>
      <c r="L214">
        <f>BDP($H214,"BICS_LEVEL_1_SECTOR_NAME")</f>
        <v/>
      </c>
      <c r="M214">
        <f>BDP($H214,"BICS_LEVEL_3_INDUSTRY_NAME")</f>
        <v/>
      </c>
    </row>
    <row r="215" spans="1:13">
      <c r="A215" t="s">
        <v>953</v>
      </c>
      <c r="B215" t="s">
        <v>14</v>
      </c>
      <c r="C215" t="s">
        <v>15</v>
      </c>
      <c r="D215" t="s">
        <v>954</v>
      </c>
      <c r="E215" t="s">
        <v>955</v>
      </c>
      <c r="F215" t="s">
        <v>42</v>
      </c>
      <c r="G215" t="s">
        <v>58</v>
      </c>
      <c r="H215" t="s">
        <v>956</v>
      </c>
      <c r="I215" t="s">
        <v>15</v>
      </c>
      <c r="J215" t="s">
        <v>21</v>
      </c>
      <c r="K215" t="s">
        <v>22</v>
      </c>
      <c r="L215">
        <f>BDP($H215,"BICS_LEVEL_1_SECTOR_NAME")</f>
        <v/>
      </c>
      <c r="M215">
        <f>BDP($H215,"BICS_LEVEL_3_INDUSTRY_NAME")</f>
        <v/>
      </c>
    </row>
    <row r="216" spans="1:13">
      <c r="A216" t="s">
        <v>957</v>
      </c>
      <c r="B216" t="s">
        <v>14</v>
      </c>
      <c r="C216" t="s">
        <v>15</v>
      </c>
      <c r="D216" t="s">
        <v>958</v>
      </c>
      <c r="E216" t="s">
        <v>959</v>
      </c>
      <c r="F216" t="s">
        <v>48</v>
      </c>
      <c r="G216" t="s">
        <v>529</v>
      </c>
      <c r="H216" t="s">
        <v>960</v>
      </c>
      <c r="I216" t="s">
        <v>15</v>
      </c>
      <c r="J216" t="s">
        <v>21</v>
      </c>
      <c r="K216" t="s">
        <v>22</v>
      </c>
      <c r="L216">
        <f>BDP($H216,"BICS_LEVEL_1_SECTOR_NAME")</f>
        <v/>
      </c>
      <c r="M216">
        <f>BDP($H216,"BICS_LEVEL_3_INDUSTRY_NAME")</f>
        <v/>
      </c>
    </row>
    <row r="217" spans="1:13">
      <c r="A217" t="s">
        <v>961</v>
      </c>
      <c r="B217" t="s">
        <v>14</v>
      </c>
      <c r="C217" t="s">
        <v>15</v>
      </c>
      <c r="D217" t="s">
        <v>962</v>
      </c>
      <c r="E217" t="s">
        <v>963</v>
      </c>
      <c r="F217" t="s">
        <v>48</v>
      </c>
      <c r="G217" t="s">
        <v>491</v>
      </c>
      <c r="H217" t="s">
        <v>964</v>
      </c>
      <c r="I217" t="s">
        <v>15</v>
      </c>
      <c r="J217" t="s">
        <v>21</v>
      </c>
      <c r="K217" t="s">
        <v>22</v>
      </c>
      <c r="L217">
        <f>BDP($H217,"BICS_LEVEL_1_SECTOR_NAME")</f>
        <v/>
      </c>
      <c r="M217">
        <f>BDP($H217,"BICS_LEVEL_3_INDUSTRY_NAME")</f>
        <v/>
      </c>
    </row>
    <row r="218" spans="1:13">
      <c r="A218" t="s">
        <v>965</v>
      </c>
      <c r="B218" t="s">
        <v>14</v>
      </c>
      <c r="C218" t="s">
        <v>15</v>
      </c>
      <c r="D218" t="s">
        <v>966</v>
      </c>
      <c r="E218" t="s">
        <v>967</v>
      </c>
      <c r="F218" t="s">
        <v>48</v>
      </c>
      <c r="G218" t="s">
        <v>143</v>
      </c>
      <c r="H218" t="s">
        <v>968</v>
      </c>
      <c r="I218" t="s">
        <v>15</v>
      </c>
      <c r="J218" t="s">
        <v>21</v>
      </c>
      <c r="K218" t="s">
        <v>22</v>
      </c>
      <c r="L218">
        <f>BDP($H218,"BICS_LEVEL_1_SECTOR_NAME")</f>
        <v/>
      </c>
      <c r="M218">
        <f>BDP($H218,"BICS_LEVEL_3_INDUSTRY_NAME")</f>
        <v/>
      </c>
    </row>
    <row r="219" spans="1:13">
      <c r="A219" t="s">
        <v>969</v>
      </c>
      <c r="B219" t="s">
        <v>14</v>
      </c>
      <c r="C219" t="s">
        <v>15</v>
      </c>
      <c r="D219" t="s">
        <v>970</v>
      </c>
      <c r="E219" t="s">
        <v>971</v>
      </c>
      <c r="F219" t="s">
        <v>26</v>
      </c>
      <c r="G219" t="s">
        <v>37</v>
      </c>
      <c r="H219" t="s">
        <v>972</v>
      </c>
      <c r="I219" t="s">
        <v>15</v>
      </c>
      <c r="J219" t="s">
        <v>21</v>
      </c>
      <c r="K219" t="s">
        <v>22</v>
      </c>
      <c r="L219">
        <f>BDP($H219,"BICS_LEVEL_1_SECTOR_NAME")</f>
        <v/>
      </c>
      <c r="M219">
        <f>BDP($H219,"BICS_LEVEL_3_INDUSTRY_NAME")</f>
        <v/>
      </c>
    </row>
    <row r="220" spans="1:13">
      <c r="A220" t="s">
        <v>973</v>
      </c>
      <c r="B220" t="s">
        <v>14</v>
      </c>
      <c r="C220" t="s">
        <v>15</v>
      </c>
      <c r="D220" t="s">
        <v>974</v>
      </c>
      <c r="E220" t="s">
        <v>975</v>
      </c>
      <c r="F220" t="s">
        <v>48</v>
      </c>
      <c r="G220" t="s">
        <v>68</v>
      </c>
      <c r="H220" t="s">
        <v>976</v>
      </c>
      <c r="I220" t="s">
        <v>15</v>
      </c>
      <c r="J220" t="s">
        <v>21</v>
      </c>
      <c r="K220" t="s">
        <v>22</v>
      </c>
      <c r="L220">
        <f>BDP($H220,"BICS_LEVEL_1_SECTOR_NAME")</f>
        <v/>
      </c>
      <c r="M220">
        <f>BDP($H220,"BICS_LEVEL_3_INDUSTRY_NAME")</f>
        <v/>
      </c>
    </row>
    <row r="221" spans="1:13">
      <c r="A221" t="s">
        <v>977</v>
      </c>
      <c r="B221" t="s">
        <v>14</v>
      </c>
      <c r="C221" t="s">
        <v>15</v>
      </c>
      <c r="D221" t="s">
        <v>978</v>
      </c>
      <c r="E221" t="s">
        <v>979</v>
      </c>
      <c r="F221" t="s">
        <v>26</v>
      </c>
      <c r="G221" t="s">
        <v>134</v>
      </c>
      <c r="H221" t="s">
        <v>980</v>
      </c>
      <c r="I221" t="s">
        <v>15</v>
      </c>
      <c r="J221" t="s">
        <v>21</v>
      </c>
      <c r="K221" t="s">
        <v>22</v>
      </c>
      <c r="L221">
        <f>BDP($H221,"BICS_LEVEL_1_SECTOR_NAME")</f>
        <v/>
      </c>
      <c r="M221">
        <f>BDP($H221,"BICS_LEVEL_3_INDUSTRY_NAME")</f>
        <v/>
      </c>
    </row>
    <row r="222" spans="1:13">
      <c r="A222" t="s">
        <v>981</v>
      </c>
      <c r="B222" t="s">
        <v>14</v>
      </c>
      <c r="C222" t="s">
        <v>15</v>
      </c>
      <c r="D222" t="s">
        <v>982</v>
      </c>
      <c r="E222" t="s">
        <v>983</v>
      </c>
      <c r="F222" t="s">
        <v>26</v>
      </c>
      <c r="G222" t="s">
        <v>134</v>
      </c>
      <c r="H222" t="s">
        <v>984</v>
      </c>
      <c r="I222" t="s">
        <v>15</v>
      </c>
      <c r="J222" t="s">
        <v>21</v>
      </c>
      <c r="K222" t="s">
        <v>22</v>
      </c>
      <c r="L222">
        <f>BDP($H222,"BICS_LEVEL_1_SECTOR_NAME")</f>
        <v/>
      </c>
      <c r="M222">
        <f>BDP($H222,"BICS_LEVEL_3_INDUSTRY_NAME")</f>
        <v/>
      </c>
    </row>
    <row r="223" spans="1:13">
      <c r="A223" t="s">
        <v>985</v>
      </c>
      <c r="B223" t="s">
        <v>14</v>
      </c>
      <c r="C223" t="s">
        <v>15</v>
      </c>
      <c r="D223" t="s">
        <v>986</v>
      </c>
      <c r="E223" t="s">
        <v>987</v>
      </c>
      <c r="F223" t="s">
        <v>213</v>
      </c>
      <c r="G223" t="s">
        <v>214</v>
      </c>
      <c r="H223" t="s">
        <v>988</v>
      </c>
      <c r="I223" t="s">
        <v>15</v>
      </c>
      <c r="J223" t="s">
        <v>21</v>
      </c>
      <c r="K223" t="s">
        <v>22</v>
      </c>
      <c r="L223">
        <f>BDP($H223,"BICS_LEVEL_1_SECTOR_NAME")</f>
        <v/>
      </c>
      <c r="M223">
        <f>BDP($H223,"BICS_LEVEL_3_INDUSTRY_NAME")</f>
        <v/>
      </c>
    </row>
    <row r="224" spans="1:13">
      <c r="A224" t="s">
        <v>989</v>
      </c>
      <c r="B224" t="s">
        <v>14</v>
      </c>
      <c r="C224" t="s">
        <v>15</v>
      </c>
      <c r="D224" t="s">
        <v>990</v>
      </c>
      <c r="E224" t="s">
        <v>991</v>
      </c>
      <c r="F224" t="s">
        <v>18</v>
      </c>
      <c r="G224" t="s">
        <v>567</v>
      </c>
      <c r="H224" t="s">
        <v>992</v>
      </c>
      <c r="I224" t="s">
        <v>15</v>
      </c>
      <c r="J224" t="s">
        <v>21</v>
      </c>
      <c r="K224" t="s">
        <v>22</v>
      </c>
      <c r="L224">
        <f>BDP($H224,"BICS_LEVEL_1_SECTOR_NAME")</f>
        <v/>
      </c>
      <c r="M224">
        <f>BDP($H224,"BICS_LEVEL_3_INDUSTRY_NAME")</f>
        <v/>
      </c>
    </row>
    <row r="225" spans="1:13">
      <c r="A225" t="s">
        <v>993</v>
      </c>
      <c r="B225" t="s">
        <v>14</v>
      </c>
      <c r="C225" t="s">
        <v>15</v>
      </c>
      <c r="D225" t="s">
        <v>994</v>
      </c>
      <c r="E225" t="s">
        <v>995</v>
      </c>
      <c r="F225" t="s">
        <v>26</v>
      </c>
      <c r="G225" t="s">
        <v>37</v>
      </c>
      <c r="H225" t="s">
        <v>996</v>
      </c>
      <c r="I225" t="s">
        <v>15</v>
      </c>
      <c r="J225" t="s">
        <v>21</v>
      </c>
      <c r="K225" t="s">
        <v>22</v>
      </c>
      <c r="L225">
        <f>BDP($H225,"BICS_LEVEL_1_SECTOR_NAME")</f>
        <v/>
      </c>
      <c r="M225">
        <f>BDP($H225,"BICS_LEVEL_3_INDUSTRY_NAME")</f>
        <v/>
      </c>
    </row>
    <row r="226" spans="1:13">
      <c r="A226" t="s">
        <v>997</v>
      </c>
      <c r="B226" t="s">
        <v>14</v>
      </c>
      <c r="C226" t="s">
        <v>15</v>
      </c>
      <c r="D226" t="s">
        <v>998</v>
      </c>
      <c r="E226" t="s">
        <v>999</v>
      </c>
      <c r="F226" t="s">
        <v>26</v>
      </c>
      <c r="G226" t="s">
        <v>37</v>
      </c>
      <c r="H226" t="s">
        <v>1000</v>
      </c>
      <c r="I226" t="s">
        <v>15</v>
      </c>
      <c r="J226" t="s">
        <v>21</v>
      </c>
      <c r="K226" t="s">
        <v>22</v>
      </c>
      <c r="L226">
        <f>BDP($H226,"BICS_LEVEL_1_SECTOR_NAME")</f>
        <v/>
      </c>
      <c r="M226">
        <f>BDP($H226,"BICS_LEVEL_3_INDUSTRY_NAME")</f>
        <v/>
      </c>
    </row>
    <row r="227" spans="1:13">
      <c r="A227" t="s">
        <v>1001</v>
      </c>
      <c r="B227" t="s">
        <v>14</v>
      </c>
      <c r="C227" t="s">
        <v>15</v>
      </c>
      <c r="D227" t="s">
        <v>1002</v>
      </c>
      <c r="E227" t="s">
        <v>1003</v>
      </c>
      <c r="F227" t="s">
        <v>26</v>
      </c>
      <c r="G227" t="s">
        <v>134</v>
      </c>
      <c r="H227" t="s">
        <v>1004</v>
      </c>
      <c r="I227" t="s">
        <v>15</v>
      </c>
      <c r="J227" t="s">
        <v>21</v>
      </c>
      <c r="K227" t="s">
        <v>22</v>
      </c>
      <c r="L227">
        <f>BDP($H227,"BICS_LEVEL_1_SECTOR_NAME")</f>
        <v/>
      </c>
      <c r="M227">
        <f>BDP($H227,"BICS_LEVEL_3_INDUSTRY_NAME")</f>
        <v/>
      </c>
    </row>
    <row r="228" spans="1:13">
      <c r="A228" t="s">
        <v>1005</v>
      </c>
      <c r="B228" t="s">
        <v>14</v>
      </c>
      <c r="C228" t="s">
        <v>15</v>
      </c>
      <c r="D228" t="s">
        <v>1006</v>
      </c>
      <c r="E228" t="s">
        <v>1007</v>
      </c>
      <c r="F228" t="s">
        <v>26</v>
      </c>
      <c r="G228" t="s">
        <v>37</v>
      </c>
      <c r="H228" t="s">
        <v>1008</v>
      </c>
      <c r="I228" t="s">
        <v>15</v>
      </c>
      <c r="J228" t="s">
        <v>21</v>
      </c>
      <c r="K228" t="s">
        <v>22</v>
      </c>
      <c r="L228">
        <f>BDP($H228,"BICS_LEVEL_1_SECTOR_NAME")</f>
        <v/>
      </c>
      <c r="M228">
        <f>BDP($H228,"BICS_LEVEL_3_INDUSTRY_NAME")</f>
        <v/>
      </c>
    </row>
    <row r="229" spans="1:13">
      <c r="A229" t="s">
        <v>1009</v>
      </c>
      <c r="B229" t="s">
        <v>14</v>
      </c>
      <c r="C229" t="s">
        <v>15</v>
      </c>
      <c r="D229" t="s">
        <v>1010</v>
      </c>
      <c r="E229" t="s">
        <v>1011</v>
      </c>
      <c r="F229" t="s">
        <v>48</v>
      </c>
      <c r="G229" t="s">
        <v>713</v>
      </c>
      <c r="H229" t="s">
        <v>1012</v>
      </c>
      <c r="I229" t="s">
        <v>15</v>
      </c>
      <c r="J229" t="s">
        <v>21</v>
      </c>
      <c r="K229" t="s">
        <v>22</v>
      </c>
      <c r="L229">
        <f>BDP($H229,"BICS_LEVEL_1_SECTOR_NAME")</f>
        <v/>
      </c>
      <c r="M229">
        <f>BDP($H229,"BICS_LEVEL_3_INDUSTRY_NAME")</f>
        <v/>
      </c>
    </row>
    <row r="230" spans="1:13">
      <c r="A230" t="s">
        <v>1013</v>
      </c>
      <c r="B230" t="s">
        <v>14</v>
      </c>
      <c r="C230" t="s">
        <v>15</v>
      </c>
      <c r="D230" t="s">
        <v>1014</v>
      </c>
      <c r="E230" t="s">
        <v>1015</v>
      </c>
      <c r="F230" t="s">
        <v>48</v>
      </c>
      <c r="G230" t="s">
        <v>1016</v>
      </c>
      <c r="H230" t="s">
        <v>1017</v>
      </c>
      <c r="I230" t="s">
        <v>15</v>
      </c>
      <c r="J230" t="s">
        <v>21</v>
      </c>
      <c r="K230" t="s">
        <v>22</v>
      </c>
      <c r="L230">
        <f>BDP($H230,"BICS_LEVEL_1_SECTOR_NAME")</f>
        <v/>
      </c>
      <c r="M230">
        <f>BDP($H230,"BICS_LEVEL_3_INDUSTRY_NAME")</f>
        <v/>
      </c>
    </row>
    <row r="231" spans="1:13">
      <c r="A231" t="s">
        <v>1018</v>
      </c>
      <c r="B231" t="s">
        <v>14</v>
      </c>
      <c r="C231" t="s">
        <v>15</v>
      </c>
      <c r="D231" t="s">
        <v>1019</v>
      </c>
      <c r="E231" t="s">
        <v>1020</v>
      </c>
      <c r="F231" t="s">
        <v>42</v>
      </c>
      <c r="G231" t="s">
        <v>58</v>
      </c>
      <c r="H231" t="s">
        <v>1021</v>
      </c>
      <c r="I231" t="s">
        <v>15</v>
      </c>
      <c r="J231" t="s">
        <v>21</v>
      </c>
      <c r="K231" t="s">
        <v>22</v>
      </c>
      <c r="L231">
        <f>BDP($H231,"BICS_LEVEL_1_SECTOR_NAME")</f>
        <v/>
      </c>
      <c r="M231">
        <f>BDP($H231,"BICS_LEVEL_3_INDUSTRY_NAME")</f>
        <v/>
      </c>
    </row>
    <row r="232" spans="1:13">
      <c r="A232" t="s">
        <v>1022</v>
      </c>
      <c r="B232" t="s">
        <v>14</v>
      </c>
      <c r="C232" t="s">
        <v>15</v>
      </c>
      <c r="D232" t="s">
        <v>1023</v>
      </c>
      <c r="E232" t="s">
        <v>1024</v>
      </c>
      <c r="F232" t="s">
        <v>392</v>
      </c>
      <c r="G232" t="s">
        <v>845</v>
      </c>
      <c r="H232" t="s">
        <v>1025</v>
      </c>
      <c r="I232" t="s">
        <v>15</v>
      </c>
      <c r="J232" t="s">
        <v>21</v>
      </c>
      <c r="K232" t="s">
        <v>22</v>
      </c>
      <c r="L232">
        <f>BDP($H232,"BICS_LEVEL_1_SECTOR_NAME")</f>
        <v/>
      </c>
      <c r="M232">
        <f>BDP($H232,"BICS_LEVEL_3_INDUSTRY_NAME")</f>
        <v/>
      </c>
    </row>
    <row r="233" spans="1:13">
      <c r="A233" t="s">
        <v>1026</v>
      </c>
      <c r="B233" t="s">
        <v>14</v>
      </c>
      <c r="C233" t="s">
        <v>15</v>
      </c>
      <c r="D233" t="s">
        <v>1027</v>
      </c>
      <c r="E233" t="s">
        <v>1028</v>
      </c>
      <c r="F233" t="s">
        <v>207</v>
      </c>
      <c r="G233" t="s">
        <v>208</v>
      </c>
      <c r="H233" t="s">
        <v>1029</v>
      </c>
      <c r="I233" t="s">
        <v>15</v>
      </c>
      <c r="J233" t="s">
        <v>21</v>
      </c>
      <c r="K233" t="s">
        <v>22</v>
      </c>
      <c r="L233">
        <f>BDP($H233,"BICS_LEVEL_1_SECTOR_NAME")</f>
        <v/>
      </c>
      <c r="M233">
        <f>BDP($H233,"BICS_LEVEL_3_INDUSTRY_NAME")</f>
        <v/>
      </c>
    </row>
    <row r="234" spans="1:13">
      <c r="A234" t="s">
        <v>1030</v>
      </c>
      <c r="B234" t="s">
        <v>14</v>
      </c>
      <c r="C234" t="s">
        <v>15</v>
      </c>
      <c r="D234" t="s">
        <v>1031</v>
      </c>
      <c r="E234" t="s">
        <v>1032</v>
      </c>
      <c r="F234" t="s">
        <v>42</v>
      </c>
      <c r="G234" t="s">
        <v>43</v>
      </c>
      <c r="H234" t="s">
        <v>1033</v>
      </c>
      <c r="I234" t="s">
        <v>15</v>
      </c>
      <c r="J234" t="s">
        <v>21</v>
      </c>
      <c r="K234" t="s">
        <v>22</v>
      </c>
      <c r="L234">
        <f>BDP($H234,"BICS_LEVEL_1_SECTOR_NAME")</f>
        <v/>
      </c>
      <c r="M234">
        <f>BDP($H234,"BICS_LEVEL_3_INDUSTRY_NAME")</f>
        <v/>
      </c>
    </row>
    <row r="235" spans="1:13">
      <c r="A235" t="s">
        <v>1034</v>
      </c>
      <c r="B235" t="s">
        <v>14</v>
      </c>
      <c r="C235" t="s">
        <v>15</v>
      </c>
      <c r="D235" t="s">
        <v>1035</v>
      </c>
      <c r="E235" t="s">
        <v>1036</v>
      </c>
      <c r="F235" t="s">
        <v>26</v>
      </c>
      <c r="G235" t="s">
        <v>134</v>
      </c>
      <c r="H235" t="s">
        <v>1037</v>
      </c>
      <c r="I235" t="s">
        <v>15</v>
      </c>
      <c r="J235" t="s">
        <v>21</v>
      </c>
      <c r="K235" t="s">
        <v>22</v>
      </c>
      <c r="L235">
        <f>BDP($H235,"BICS_LEVEL_1_SECTOR_NAME")</f>
        <v/>
      </c>
      <c r="M235">
        <f>BDP($H235,"BICS_LEVEL_3_INDUSTRY_NAME")</f>
        <v/>
      </c>
    </row>
    <row r="236" spans="1:13">
      <c r="A236" t="s">
        <v>1038</v>
      </c>
      <c r="B236" t="s">
        <v>14</v>
      </c>
      <c r="C236" t="s">
        <v>15</v>
      </c>
      <c r="D236" t="s">
        <v>1039</v>
      </c>
      <c r="E236" t="s">
        <v>1040</v>
      </c>
      <c r="F236" t="s">
        <v>48</v>
      </c>
      <c r="G236" t="s">
        <v>799</v>
      </c>
      <c r="H236" t="s">
        <v>1041</v>
      </c>
      <c r="I236" t="s">
        <v>15</v>
      </c>
      <c r="J236" t="s">
        <v>21</v>
      </c>
      <c r="K236" t="s">
        <v>22</v>
      </c>
      <c r="L236">
        <f>BDP($H236,"BICS_LEVEL_1_SECTOR_NAME")</f>
        <v/>
      </c>
      <c r="M236">
        <f>BDP($H236,"BICS_LEVEL_3_INDUSTRY_NAME")</f>
        <v/>
      </c>
    </row>
    <row r="237" spans="1:13">
      <c r="A237" t="s">
        <v>1042</v>
      </c>
      <c r="B237" t="s">
        <v>14</v>
      </c>
      <c r="C237" t="s">
        <v>15</v>
      </c>
      <c r="D237" t="s">
        <v>1043</v>
      </c>
      <c r="E237" t="s">
        <v>1044</v>
      </c>
      <c r="F237" t="s">
        <v>26</v>
      </c>
      <c r="G237" t="s">
        <v>134</v>
      </c>
      <c r="H237" t="s">
        <v>1045</v>
      </c>
      <c r="I237" t="s">
        <v>15</v>
      </c>
      <c r="J237" t="s">
        <v>21</v>
      </c>
      <c r="K237" t="s">
        <v>22</v>
      </c>
      <c r="L237">
        <f>BDP($H237,"BICS_LEVEL_1_SECTOR_NAME")</f>
        <v/>
      </c>
      <c r="M237">
        <f>BDP($H237,"BICS_LEVEL_3_INDUSTRY_NAME")</f>
        <v/>
      </c>
    </row>
    <row r="238" spans="1:13">
      <c r="A238" t="s">
        <v>1046</v>
      </c>
      <c r="B238" t="s">
        <v>14</v>
      </c>
      <c r="C238" t="s">
        <v>15</v>
      </c>
      <c r="D238" t="s">
        <v>1047</v>
      </c>
      <c r="E238" t="s">
        <v>1048</v>
      </c>
      <c r="F238" t="s">
        <v>42</v>
      </c>
      <c r="G238" t="s">
        <v>91</v>
      </c>
      <c r="H238" t="s">
        <v>1049</v>
      </c>
      <c r="I238" t="s">
        <v>15</v>
      </c>
      <c r="J238" t="s">
        <v>21</v>
      </c>
      <c r="K238" t="s">
        <v>22</v>
      </c>
      <c r="L238">
        <f>BDP($H238,"BICS_LEVEL_1_SECTOR_NAME")</f>
        <v/>
      </c>
      <c r="M238">
        <f>BDP($H238,"BICS_LEVEL_3_INDUSTRY_NAME")</f>
        <v/>
      </c>
    </row>
    <row r="239" spans="1:13">
      <c r="A239" t="s">
        <v>1050</v>
      </c>
      <c r="B239" t="s">
        <v>14</v>
      </c>
      <c r="C239" t="s">
        <v>15</v>
      </c>
      <c r="D239" t="s">
        <v>1051</v>
      </c>
      <c r="E239" t="s">
        <v>1052</v>
      </c>
      <c r="F239" t="s">
        <v>26</v>
      </c>
      <c r="G239" t="s">
        <v>37</v>
      </c>
      <c r="H239" t="s">
        <v>1053</v>
      </c>
      <c r="I239" t="s">
        <v>15</v>
      </c>
      <c r="J239" t="s">
        <v>21</v>
      </c>
      <c r="K239" t="s">
        <v>22</v>
      </c>
      <c r="L239">
        <f>BDP($H239,"BICS_LEVEL_1_SECTOR_NAME")</f>
        <v/>
      </c>
      <c r="M239">
        <f>BDP($H239,"BICS_LEVEL_3_INDUSTRY_NAME")</f>
        <v/>
      </c>
    </row>
    <row r="240" spans="1:13">
      <c r="A240" t="s">
        <v>1054</v>
      </c>
      <c r="B240" t="s">
        <v>14</v>
      </c>
      <c r="C240" t="s">
        <v>15</v>
      </c>
      <c r="D240" t="s">
        <v>1055</v>
      </c>
      <c r="E240" t="s">
        <v>1056</v>
      </c>
      <c r="F240" t="s">
        <v>18</v>
      </c>
      <c r="G240" t="s">
        <v>234</v>
      </c>
      <c r="H240" t="s">
        <v>1057</v>
      </c>
      <c r="I240" t="s">
        <v>15</v>
      </c>
      <c r="J240" t="s">
        <v>21</v>
      </c>
      <c r="K240" t="s">
        <v>22</v>
      </c>
      <c r="L240">
        <f>BDP($H240,"BICS_LEVEL_1_SECTOR_NAME")</f>
        <v/>
      </c>
      <c r="M240">
        <f>BDP($H240,"BICS_LEVEL_3_INDUSTRY_NAME")</f>
        <v/>
      </c>
    </row>
    <row r="241" spans="1:13">
      <c r="A241" t="s">
        <v>1058</v>
      </c>
      <c r="B241" t="s">
        <v>14</v>
      </c>
      <c r="C241" t="s">
        <v>15</v>
      </c>
      <c r="D241" t="s">
        <v>1059</v>
      </c>
      <c r="E241" t="s">
        <v>1060</v>
      </c>
      <c r="F241" t="s">
        <v>48</v>
      </c>
      <c r="G241" t="s">
        <v>349</v>
      </c>
      <c r="H241" t="s">
        <v>1061</v>
      </c>
      <c r="I241" t="s">
        <v>15</v>
      </c>
      <c r="J241" t="s">
        <v>21</v>
      </c>
      <c r="K241" t="s">
        <v>22</v>
      </c>
      <c r="L241">
        <f>BDP($H241,"BICS_LEVEL_1_SECTOR_NAME")</f>
        <v/>
      </c>
      <c r="M241">
        <f>BDP($H241,"BICS_LEVEL_3_INDUSTRY_NAME")</f>
        <v/>
      </c>
    </row>
    <row r="242" spans="1:13">
      <c r="A242" t="s">
        <v>1062</v>
      </c>
      <c r="B242" t="s">
        <v>14</v>
      </c>
      <c r="C242" t="s">
        <v>15</v>
      </c>
      <c r="D242" t="s">
        <v>1063</v>
      </c>
      <c r="E242" t="s">
        <v>1064</v>
      </c>
      <c r="F242" t="s">
        <v>48</v>
      </c>
      <c r="G242" t="s">
        <v>1065</v>
      </c>
      <c r="H242" t="s">
        <v>1066</v>
      </c>
      <c r="I242" t="s">
        <v>15</v>
      </c>
      <c r="J242" t="s">
        <v>21</v>
      </c>
      <c r="K242" t="s">
        <v>22</v>
      </c>
      <c r="L242">
        <f>BDP($H242,"BICS_LEVEL_1_SECTOR_NAME")</f>
        <v/>
      </c>
      <c r="M242">
        <f>BDP($H242,"BICS_LEVEL_3_INDUSTRY_NAME")</f>
        <v/>
      </c>
    </row>
    <row r="243" spans="1:13">
      <c r="A243" t="s">
        <v>1067</v>
      </c>
      <c r="B243" t="s">
        <v>14</v>
      </c>
      <c r="C243" t="s">
        <v>15</v>
      </c>
      <c r="D243" t="s">
        <v>1068</v>
      </c>
      <c r="E243" t="s">
        <v>1069</v>
      </c>
      <c r="F243" t="s">
        <v>42</v>
      </c>
      <c r="G243" t="s">
        <v>58</v>
      </c>
      <c r="H243" t="s">
        <v>1070</v>
      </c>
      <c r="I243" t="s">
        <v>15</v>
      </c>
      <c r="J243" t="s">
        <v>21</v>
      </c>
      <c r="K243" t="s">
        <v>22</v>
      </c>
      <c r="L243">
        <f>BDP($H243,"BICS_LEVEL_1_SECTOR_NAME")</f>
        <v/>
      </c>
      <c r="M243">
        <f>BDP($H243,"BICS_LEVEL_3_INDUSTRY_NAME")</f>
        <v/>
      </c>
    </row>
    <row r="244" spans="1:13">
      <c r="A244" t="s">
        <v>1071</v>
      </c>
      <c r="B244" t="s">
        <v>14</v>
      </c>
      <c r="C244" t="s">
        <v>15</v>
      </c>
      <c r="D244" t="s">
        <v>1072</v>
      </c>
      <c r="E244" t="s">
        <v>1073</v>
      </c>
      <c r="F244" t="s">
        <v>26</v>
      </c>
      <c r="G244" t="s">
        <v>239</v>
      </c>
      <c r="H244" t="s">
        <v>1074</v>
      </c>
      <c r="I244" t="s">
        <v>15</v>
      </c>
      <c r="J244" t="s">
        <v>21</v>
      </c>
      <c r="K244" t="s">
        <v>22</v>
      </c>
      <c r="L244">
        <f>BDP($H244,"BICS_LEVEL_1_SECTOR_NAME")</f>
        <v/>
      </c>
      <c r="M244">
        <f>BDP($H244,"BICS_LEVEL_3_INDUSTRY_NAME")</f>
        <v/>
      </c>
    </row>
    <row r="245" spans="1:13">
      <c r="A245" t="s">
        <v>1075</v>
      </c>
      <c r="B245" t="s">
        <v>14</v>
      </c>
      <c r="C245" t="s">
        <v>15</v>
      </c>
      <c r="D245" t="s">
        <v>1076</v>
      </c>
      <c r="E245" t="s">
        <v>1077</v>
      </c>
      <c r="F245" t="s">
        <v>42</v>
      </c>
      <c r="G245" t="s">
        <v>91</v>
      </c>
      <c r="H245" t="s">
        <v>1078</v>
      </c>
      <c r="I245" t="s">
        <v>15</v>
      </c>
      <c r="J245" t="s">
        <v>21</v>
      </c>
      <c r="K245" t="s">
        <v>22</v>
      </c>
      <c r="L245">
        <f>BDP($H245,"BICS_LEVEL_1_SECTOR_NAME")</f>
        <v/>
      </c>
      <c r="M245">
        <f>BDP($H245,"BICS_LEVEL_3_INDUSTRY_NAME")</f>
        <v/>
      </c>
    </row>
    <row r="246" spans="1:13">
      <c r="A246" t="s">
        <v>1079</v>
      </c>
      <c r="B246" t="s">
        <v>14</v>
      </c>
      <c r="C246" t="s">
        <v>15</v>
      </c>
      <c r="D246" t="s">
        <v>1080</v>
      </c>
      <c r="E246" t="s">
        <v>1081</v>
      </c>
      <c r="F246" t="s">
        <v>18</v>
      </c>
      <c r="G246" t="s">
        <v>266</v>
      </c>
      <c r="H246" t="s">
        <v>1082</v>
      </c>
      <c r="I246" t="s">
        <v>15</v>
      </c>
      <c r="J246" t="s">
        <v>21</v>
      </c>
      <c r="K246" t="s">
        <v>22</v>
      </c>
      <c r="L246">
        <f>BDP($H246,"BICS_LEVEL_1_SECTOR_NAME")</f>
        <v/>
      </c>
      <c r="M246">
        <f>BDP($H246,"BICS_LEVEL_3_INDUSTRY_NAME")</f>
        <v/>
      </c>
    </row>
    <row r="247" spans="1:13">
      <c r="A247" t="s">
        <v>1083</v>
      </c>
      <c r="B247" t="s">
        <v>14</v>
      </c>
      <c r="C247" t="s">
        <v>15</v>
      </c>
      <c r="D247" t="s">
        <v>1084</v>
      </c>
      <c r="E247" t="s">
        <v>1085</v>
      </c>
      <c r="F247" t="s">
        <v>18</v>
      </c>
      <c r="G247" t="s">
        <v>188</v>
      </c>
      <c r="H247" t="s">
        <v>1086</v>
      </c>
      <c r="I247" t="s">
        <v>15</v>
      </c>
      <c r="J247" t="s">
        <v>21</v>
      </c>
      <c r="K247" t="s">
        <v>22</v>
      </c>
      <c r="L247">
        <f>BDP($H247,"BICS_LEVEL_1_SECTOR_NAME")</f>
        <v/>
      </c>
      <c r="M247">
        <f>BDP($H247,"BICS_LEVEL_3_INDUSTRY_NAME")</f>
        <v/>
      </c>
    </row>
    <row r="248" spans="1:13">
      <c r="A248" t="s">
        <v>1087</v>
      </c>
      <c r="B248" t="s">
        <v>14</v>
      </c>
      <c r="C248" t="s">
        <v>15</v>
      </c>
      <c r="D248" t="s">
        <v>1088</v>
      </c>
      <c r="E248" t="s">
        <v>1089</v>
      </c>
      <c r="F248" t="s">
        <v>233</v>
      </c>
      <c r="G248" t="s">
        <v>1090</v>
      </c>
      <c r="H248" t="s">
        <v>1091</v>
      </c>
      <c r="I248" t="s">
        <v>15</v>
      </c>
      <c r="J248" t="s">
        <v>21</v>
      </c>
      <c r="K248" t="s">
        <v>22</v>
      </c>
      <c r="L248">
        <f>BDP($H248,"BICS_LEVEL_1_SECTOR_NAME")</f>
        <v/>
      </c>
      <c r="M248">
        <f>BDP($H248,"BICS_LEVEL_3_INDUSTRY_NAME")</f>
        <v/>
      </c>
    </row>
    <row r="249" spans="1:13">
      <c r="A249" t="s">
        <v>1092</v>
      </c>
      <c r="B249" t="s">
        <v>14</v>
      </c>
      <c r="C249" t="s">
        <v>15</v>
      </c>
      <c r="D249" t="s">
        <v>1093</v>
      </c>
      <c r="E249" t="s">
        <v>1094</v>
      </c>
      <c r="F249" t="s">
        <v>42</v>
      </c>
      <c r="G249" t="s">
        <v>91</v>
      </c>
      <c r="H249" t="s">
        <v>1095</v>
      </c>
      <c r="I249" t="s">
        <v>15</v>
      </c>
      <c r="J249" t="s">
        <v>21</v>
      </c>
      <c r="K249" t="s">
        <v>22</v>
      </c>
      <c r="L249">
        <f>BDP($H249,"BICS_LEVEL_1_SECTOR_NAME")</f>
        <v/>
      </c>
      <c r="M249">
        <f>BDP($H249,"BICS_LEVEL_3_INDUSTRY_NAME")</f>
        <v/>
      </c>
    </row>
    <row r="250" spans="1:13">
      <c r="A250" t="s">
        <v>1096</v>
      </c>
      <c r="B250" t="s">
        <v>14</v>
      </c>
      <c r="C250" t="s">
        <v>15</v>
      </c>
      <c r="D250" t="s">
        <v>1097</v>
      </c>
      <c r="E250" t="s">
        <v>1098</v>
      </c>
      <c r="F250" t="s">
        <v>42</v>
      </c>
      <c r="G250" t="s">
        <v>91</v>
      </c>
      <c r="H250" t="s">
        <v>1099</v>
      </c>
      <c r="I250" t="s">
        <v>15</v>
      </c>
      <c r="J250" t="s">
        <v>21</v>
      </c>
      <c r="K250" t="s">
        <v>22</v>
      </c>
      <c r="L250">
        <f>BDP($H250,"BICS_LEVEL_1_SECTOR_NAME")</f>
        <v/>
      </c>
      <c r="M250">
        <f>BDP($H250,"BICS_LEVEL_3_INDUSTRY_NAME")</f>
        <v/>
      </c>
    </row>
    <row r="251" spans="1:13">
      <c r="A251" t="s">
        <v>1100</v>
      </c>
      <c r="B251" t="s">
        <v>14</v>
      </c>
      <c r="C251" t="s">
        <v>15</v>
      </c>
      <c r="D251" t="s">
        <v>1101</v>
      </c>
      <c r="E251" t="s">
        <v>1102</v>
      </c>
      <c r="F251" t="s">
        <v>42</v>
      </c>
      <c r="G251" t="s">
        <v>91</v>
      </c>
      <c r="H251" t="s">
        <v>1103</v>
      </c>
      <c r="I251" t="s">
        <v>15</v>
      </c>
      <c r="J251" t="s">
        <v>21</v>
      </c>
      <c r="K251" t="s">
        <v>22</v>
      </c>
      <c r="L251">
        <f>BDP($H251,"BICS_LEVEL_1_SECTOR_NAME")</f>
        <v/>
      </c>
      <c r="M251">
        <f>BDP($H251,"BICS_LEVEL_3_INDUSTRY_NAME")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BDH("QSI US Equity","BS_TOT_ASSET","1993-06-18","2026-05-02","Per=Y","Days=T","Dir=V")</f>
        <v>0</v>
      </c>
      <c r="C2">
        <f>BDH("QSI US Equity","BS_TOT_LIAB2","1993-06-18","2026-05-02","Per=Y","Days=T","Dir=V")</f>
        <v>0</v>
      </c>
      <c r="E2">
        <f>BDH("QSI US Equity","SHORT_AND_LONG_TERM_DEBT","1993-06-18","2026-05-02","Per=Y","Days=T","Dir=V")</f>
        <v>0</v>
      </c>
      <c r="G2">
        <f>BDH("QSI US Equity","BS_ST_BORROW","1993-06-18","2026-05-02","Per=Y","Days=T","Dir=V")</f>
        <v>0</v>
      </c>
      <c r="I2">
        <f>BDH("QSI US Equity","BS_LT_BORROW","1993-06-18","2026-05-02","Per=Y","Days=T","Dir=V")</f>
        <v>0</v>
      </c>
      <c r="K2">
        <f>BDH("QSI US Equity","BS_CASH_NEAR_CASH_ITEM","1993-06-18","2026-05-02","Per=Y","Days=T","Dir=V")</f>
        <v>0</v>
      </c>
      <c r="M2">
        <f>BDH("QSI US Equity","BS_CUR_ASSET_REPORT","1993-06-18","2026-05-02","Per=Y","Days=T","Dir=V")</f>
        <v>0</v>
      </c>
      <c r="O2">
        <f>BDH("QSI US Equity","BS_CUR_LIAB","1993-06-18","2026-05-02","Per=Y","Days=T","Dir=V")</f>
        <v>0</v>
      </c>
      <c r="Q2">
        <f>BDH("QSI US Equity","BS_SHAREHOLDER_EQY_ENDING_PERIOD","1993-06-18","2026-05-02","Per=Y","Days=T","Dir=V")</f>
        <v>0</v>
      </c>
      <c r="S2">
        <f>BDH("QSI US Equity","BS_ACCT_NOTE_RCV","1993-06-18","2026-05-02","Per=Y","Days=T","Dir=V")</f>
        <v>0</v>
      </c>
      <c r="U2">
        <f>BDH("QSI US Equity","BS_INVENTORIES","1993-06-18","2026-05-02","Per=Y","Days=T","Dir=V")</f>
        <v>0</v>
      </c>
      <c r="W2">
        <f>BDH("QSI US Equity","WORKING_CAPITAL","1993-06-18","2026-05-02","Per=Y","Days=T","Dir=V")</f>
        <v>0</v>
      </c>
      <c r="Y2">
        <f>BDH("QSI US Equity","SALES_REV_TURN","1993-06-18","2026-05-02","Per=Y","Days=T","Dir=V")</f>
        <v>0</v>
      </c>
      <c r="AA2">
        <f>BDH("QSI US Equity","EBIT","1993-06-18","2026-05-02","Per=Y","Days=T","Dir=V")</f>
        <v>0</v>
      </c>
      <c r="AC2">
        <f>BDH("QSI US Equity","EBITDA","1993-06-18","2026-05-02","Per=Y","Days=T","Dir=V")</f>
        <v>0</v>
      </c>
      <c r="AE2">
        <f>BDH("QSI US Equity","NET_INCOME","1993-06-18","2026-05-02","Per=Y","Days=T","Dir=V")</f>
        <v>0</v>
      </c>
      <c r="AG2">
        <f>BDH("QSI US Equity","IS_INT_EXPENSE","1993-06-18","2026-05-02","Per=Y","Days=T","Dir=V")</f>
        <v>0</v>
      </c>
      <c r="AI2">
        <f>BDH("QSI US Equity","IS_DEPR_EXP","1993-06-18","2026-05-02","Per=Y","Days=T","Dir=V")</f>
        <v>0</v>
      </c>
      <c r="AK2">
        <f>BDH("QSI US Equity","CF_CASH_FROM_OPER","1993-06-18","2026-05-02","Per=Y","Days=T","Dir=V")</f>
        <v>0</v>
      </c>
      <c r="AM2">
        <f>BDH("QSI US Equity","CAPITAL_EXPEND","1993-06-18","2026-05-02","Per=Y","Days=T","Dir=V")</f>
        <v>0</v>
      </c>
      <c r="AO2">
        <f>BDH("QSI US Equity","CF_FREE_CASH_FLOW","1993-06-18","2026-05-02","Per=Y","Days=T","Dir=V")</f>
        <v>0</v>
      </c>
      <c r="AQ2">
        <f>BDH("QSI US Equity","PX_LAST","1993-06-18","2026-05-02","Per=M","Days=T","Dir=V")</f>
        <v>0</v>
      </c>
      <c r="AS2">
        <f>BDH("QSI US Equity","CUR_MKT_CAP","1993-06-18","2026-05-02","Per=M","Days=T","Dir=V")</f>
        <v>0</v>
      </c>
      <c r="AU2">
        <f>BDH("QSI US Equity","EQY_SH_OUT","1993-06-18","2026-05-02","Per=M","Days=T","Dir=V")</f>
        <v>0</v>
      </c>
      <c r="AW2">
        <f>BDH("QSI US Equity","PX_VOLUME","1993-06-18","2026-05-02","Per=M","Days=T","Dir=V")</f>
        <v>0</v>
      </c>
      <c r="AY2">
        <f>BDH("QSI US Equity","TURNOVER","1993-06-18","2026-05-02","Per=M","Days=T","Dir=V")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BDH("QTI US Equity","BS_TOT_ASSET","1993-06-18","2026-05-02","Per=Y","Days=T","Dir=V")</f>
        <v>0</v>
      </c>
      <c r="C2">
        <f>BDH("QTI US Equity","BS_TOT_LIAB2","1993-06-18","2026-05-02","Per=Y","Days=T","Dir=V")</f>
        <v>0</v>
      </c>
      <c r="E2">
        <f>BDH("QTI US Equity","SHORT_AND_LONG_TERM_DEBT","1993-06-18","2026-05-02","Per=Y","Days=T","Dir=V")</f>
        <v>0</v>
      </c>
      <c r="G2">
        <f>BDH("QTI US Equity","BS_ST_BORROW","1993-06-18","2026-05-02","Per=Y","Days=T","Dir=V")</f>
        <v>0</v>
      </c>
      <c r="I2">
        <f>BDH("QTI US Equity","BS_LT_BORROW","1993-06-18","2026-05-02","Per=Y","Days=T","Dir=V")</f>
        <v>0</v>
      </c>
      <c r="K2">
        <f>BDH("QTI US Equity","BS_CASH_NEAR_CASH_ITEM","1993-06-18","2026-05-02","Per=Y","Days=T","Dir=V")</f>
        <v>0</v>
      </c>
      <c r="M2">
        <f>BDH("QTI US Equity","BS_CUR_ASSET_REPORT","1993-06-18","2026-05-02","Per=Y","Days=T","Dir=V")</f>
        <v>0</v>
      </c>
      <c r="O2">
        <f>BDH("QTI US Equity","BS_CUR_LIAB","1993-06-18","2026-05-02","Per=Y","Days=T","Dir=V")</f>
        <v>0</v>
      </c>
      <c r="Q2">
        <f>BDH("QTI US Equity","BS_SHAREHOLDER_EQY_ENDING_PERIOD","1993-06-18","2026-05-02","Per=Y","Days=T","Dir=V")</f>
        <v>0</v>
      </c>
      <c r="S2">
        <f>BDH("QTI US Equity","BS_ACCT_NOTE_RCV","1993-06-18","2026-05-02","Per=Y","Days=T","Dir=V")</f>
        <v>0</v>
      </c>
      <c r="U2">
        <f>BDH("QTI US Equity","BS_INVENTORIES","1993-06-18","2026-05-02","Per=Y","Days=T","Dir=V")</f>
        <v>0</v>
      </c>
      <c r="W2">
        <f>BDH("QTI US Equity","WORKING_CAPITAL","1993-06-18","2026-05-02","Per=Y","Days=T","Dir=V")</f>
        <v>0</v>
      </c>
      <c r="Y2">
        <f>BDH("QTI US Equity","SALES_REV_TURN","1993-06-18","2026-05-02","Per=Y","Days=T","Dir=V")</f>
        <v>0</v>
      </c>
      <c r="AA2">
        <f>BDH("QTI US Equity","EBIT","1993-06-18","2026-05-02","Per=Y","Days=T","Dir=V")</f>
        <v>0</v>
      </c>
      <c r="AC2">
        <f>BDH("QTI US Equity","EBITDA","1993-06-18","2026-05-02","Per=Y","Days=T","Dir=V")</f>
        <v>0</v>
      </c>
      <c r="AE2">
        <f>BDH("QTI US Equity","NET_INCOME","1993-06-18","2026-05-02","Per=Y","Days=T","Dir=V")</f>
        <v>0</v>
      </c>
      <c r="AG2">
        <f>BDH("QTI US Equity","IS_INT_EXPENSE","1993-06-18","2026-05-02","Per=Y","Days=T","Dir=V")</f>
        <v>0</v>
      </c>
      <c r="AI2">
        <f>BDH("QTI US Equity","IS_DEPR_EXP","1993-06-18","2026-05-02","Per=Y","Days=T","Dir=V")</f>
        <v>0</v>
      </c>
      <c r="AK2">
        <f>BDH("QTI US Equity","CF_CASH_FROM_OPER","1993-06-18","2026-05-02","Per=Y","Days=T","Dir=V")</f>
        <v>0</v>
      </c>
      <c r="AM2">
        <f>BDH("QTI US Equity","CAPITAL_EXPEND","1993-06-18","2026-05-02","Per=Y","Days=T","Dir=V")</f>
        <v>0</v>
      </c>
      <c r="AO2">
        <f>BDH("QTI US Equity","CF_FREE_CASH_FLOW","1993-06-18","2026-05-02","Per=Y","Days=T","Dir=V")</f>
        <v>0</v>
      </c>
      <c r="AQ2">
        <f>BDH("QTI US Equity","PX_LAST","1993-06-18","2026-05-02","Per=M","Days=T","Dir=V")</f>
        <v>0</v>
      </c>
      <c r="AS2">
        <f>BDH("QTI US Equity","CUR_MKT_CAP","1993-06-18","2026-05-02","Per=M","Days=T","Dir=V")</f>
        <v>0</v>
      </c>
      <c r="AU2">
        <f>BDH("QTI US Equity","EQY_SH_OUT","1993-06-18","2026-05-02","Per=M","Days=T","Dir=V")</f>
        <v>0</v>
      </c>
      <c r="AW2">
        <f>BDH("QTI US Equity","PX_VOLUME","1993-06-18","2026-05-02","Per=M","Days=T","Dir=V")</f>
        <v>0</v>
      </c>
      <c r="AY2">
        <f>BDH("QTI US Equity","TURNOVER","1993-06-18","2026-05-02","Per=M","Days=T","Dir=V")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BDH("QTRX US Equity","BS_TOT_ASSET","1993-06-18","2026-05-02","Per=Y","Days=T","Dir=V")</f>
        <v>0</v>
      </c>
      <c r="C2">
        <f>BDH("QTRX US Equity","BS_TOT_LIAB2","1993-06-18","2026-05-02","Per=Y","Days=T","Dir=V")</f>
        <v>0</v>
      </c>
      <c r="E2">
        <f>BDH("QTRX US Equity","SHORT_AND_LONG_TERM_DEBT","1993-06-18","2026-05-02","Per=Y","Days=T","Dir=V")</f>
        <v>0</v>
      </c>
      <c r="G2">
        <f>BDH("QTRX US Equity","BS_ST_BORROW","1993-06-18","2026-05-02","Per=Y","Days=T","Dir=V")</f>
        <v>0</v>
      </c>
      <c r="I2">
        <f>BDH("QTRX US Equity","BS_LT_BORROW","1993-06-18","2026-05-02","Per=Y","Days=T","Dir=V")</f>
        <v>0</v>
      </c>
      <c r="K2">
        <f>BDH("QTRX US Equity","BS_CASH_NEAR_CASH_ITEM","1993-06-18","2026-05-02","Per=Y","Days=T","Dir=V")</f>
        <v>0</v>
      </c>
      <c r="M2">
        <f>BDH("QTRX US Equity","BS_CUR_ASSET_REPORT","1993-06-18","2026-05-02","Per=Y","Days=T","Dir=V")</f>
        <v>0</v>
      </c>
      <c r="O2">
        <f>BDH("QTRX US Equity","BS_CUR_LIAB","1993-06-18","2026-05-02","Per=Y","Days=T","Dir=V")</f>
        <v>0</v>
      </c>
      <c r="Q2">
        <f>BDH("QTRX US Equity","BS_SHAREHOLDER_EQY_ENDING_PERIOD","1993-06-18","2026-05-02","Per=Y","Days=T","Dir=V")</f>
        <v>0</v>
      </c>
      <c r="S2">
        <f>BDH("QTRX US Equity","BS_ACCT_NOTE_RCV","1993-06-18","2026-05-02","Per=Y","Days=T","Dir=V")</f>
        <v>0</v>
      </c>
      <c r="U2">
        <f>BDH("QTRX US Equity","BS_INVENTORIES","1993-06-18","2026-05-02","Per=Y","Days=T","Dir=V")</f>
        <v>0</v>
      </c>
      <c r="W2">
        <f>BDH("QTRX US Equity","WORKING_CAPITAL","1993-06-18","2026-05-02","Per=Y","Days=T","Dir=V")</f>
        <v>0</v>
      </c>
      <c r="Y2">
        <f>BDH("QTRX US Equity","SALES_REV_TURN","1993-06-18","2026-05-02","Per=Y","Days=T","Dir=V")</f>
        <v>0</v>
      </c>
      <c r="AA2">
        <f>BDH("QTRX US Equity","EBIT","1993-06-18","2026-05-02","Per=Y","Days=T","Dir=V")</f>
        <v>0</v>
      </c>
      <c r="AC2">
        <f>BDH("QTRX US Equity","EBITDA","1993-06-18","2026-05-02","Per=Y","Days=T","Dir=V")</f>
        <v>0</v>
      </c>
      <c r="AE2">
        <f>BDH("QTRX US Equity","NET_INCOME","1993-06-18","2026-05-02","Per=Y","Days=T","Dir=V")</f>
        <v>0</v>
      </c>
      <c r="AG2">
        <f>BDH("QTRX US Equity","IS_INT_EXPENSE","1993-06-18","2026-05-02","Per=Y","Days=T","Dir=V")</f>
        <v>0</v>
      </c>
      <c r="AI2">
        <f>BDH("QTRX US Equity","IS_DEPR_EXP","1993-06-18","2026-05-02","Per=Y","Days=T","Dir=V")</f>
        <v>0</v>
      </c>
      <c r="AK2">
        <f>BDH("QTRX US Equity","CF_CASH_FROM_OPER","1993-06-18","2026-05-02","Per=Y","Days=T","Dir=V")</f>
        <v>0</v>
      </c>
      <c r="AM2">
        <f>BDH("QTRX US Equity","CAPITAL_EXPEND","1993-06-18","2026-05-02","Per=Y","Days=T","Dir=V")</f>
        <v>0</v>
      </c>
      <c r="AO2">
        <f>BDH("QTRX US Equity","CF_FREE_CASH_FLOW","1993-06-18","2026-05-02","Per=Y","Days=T","Dir=V")</f>
        <v>0</v>
      </c>
      <c r="AQ2">
        <f>BDH("QTRX US Equity","PX_LAST","1993-06-18","2026-05-02","Per=M","Days=T","Dir=V")</f>
        <v>0</v>
      </c>
      <c r="AS2">
        <f>BDH("QTRX US Equity","CUR_MKT_CAP","1993-06-18","2026-05-02","Per=M","Days=T","Dir=V")</f>
        <v>0</v>
      </c>
      <c r="AU2">
        <f>BDH("QTRX US Equity","EQY_SH_OUT","1993-06-18","2026-05-02","Per=M","Days=T","Dir=V")</f>
        <v>0</v>
      </c>
      <c r="AW2">
        <f>BDH("QTRX US Equity","PX_VOLUME","1993-06-18","2026-05-02","Per=M","Days=T","Dir=V")</f>
        <v>0</v>
      </c>
      <c r="AY2">
        <f>BDH("QTRX US Equity","TURNOVER","1993-06-18","2026-05-02","Per=M","Days=T","Dir=V")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BDH("QTTB US Equity","BS_TOT_ASSET","1993-06-18","2026-05-02","Per=Y","Days=T","Dir=V")</f>
        <v>0</v>
      </c>
      <c r="C2">
        <f>BDH("QTTB US Equity","BS_TOT_LIAB2","1993-06-18","2026-05-02","Per=Y","Days=T","Dir=V")</f>
        <v>0</v>
      </c>
      <c r="E2">
        <f>BDH("QTTB US Equity","SHORT_AND_LONG_TERM_DEBT","1993-06-18","2026-05-02","Per=Y","Days=T","Dir=V")</f>
        <v>0</v>
      </c>
      <c r="G2">
        <f>BDH("QTTB US Equity","BS_ST_BORROW","1993-06-18","2026-05-02","Per=Y","Days=T","Dir=V")</f>
        <v>0</v>
      </c>
      <c r="I2">
        <f>BDH("QTTB US Equity","BS_LT_BORROW","1993-06-18","2026-05-02","Per=Y","Days=T","Dir=V")</f>
        <v>0</v>
      </c>
      <c r="K2">
        <f>BDH("QTTB US Equity","BS_CASH_NEAR_CASH_ITEM","1993-06-18","2026-05-02","Per=Y","Days=T","Dir=V")</f>
        <v>0</v>
      </c>
      <c r="M2">
        <f>BDH("QTTB US Equity","BS_CUR_ASSET_REPORT","1993-06-18","2026-05-02","Per=Y","Days=T","Dir=V")</f>
        <v>0</v>
      </c>
      <c r="O2">
        <f>BDH("QTTB US Equity","BS_CUR_LIAB","1993-06-18","2026-05-02","Per=Y","Days=T","Dir=V")</f>
        <v>0</v>
      </c>
      <c r="Q2">
        <f>BDH("QTTB US Equity","BS_SHAREHOLDER_EQY_ENDING_PERIOD","1993-06-18","2026-05-02","Per=Y","Days=T","Dir=V")</f>
        <v>0</v>
      </c>
      <c r="S2">
        <f>BDH("QTTB US Equity","BS_ACCT_NOTE_RCV","1993-06-18","2026-05-02","Per=Y","Days=T","Dir=V")</f>
        <v>0</v>
      </c>
      <c r="U2">
        <f>BDH("QTTB US Equity","BS_INVENTORIES","1993-06-18","2026-05-02","Per=Y","Days=T","Dir=V")</f>
        <v>0</v>
      </c>
      <c r="W2">
        <f>BDH("QTTB US Equity","WORKING_CAPITAL","1993-06-18","2026-05-02","Per=Y","Days=T","Dir=V")</f>
        <v>0</v>
      </c>
      <c r="Y2">
        <f>BDH("QTTB US Equity","SALES_REV_TURN","1993-06-18","2026-05-02","Per=Y","Days=T","Dir=V")</f>
        <v>0</v>
      </c>
      <c r="AA2">
        <f>BDH("QTTB US Equity","EBIT","1993-06-18","2026-05-02","Per=Y","Days=T","Dir=V")</f>
        <v>0</v>
      </c>
      <c r="AC2">
        <f>BDH("QTTB US Equity","EBITDA","1993-06-18","2026-05-02","Per=Y","Days=T","Dir=V")</f>
        <v>0</v>
      </c>
      <c r="AE2">
        <f>BDH("QTTB US Equity","NET_INCOME","1993-06-18","2026-05-02","Per=Y","Days=T","Dir=V")</f>
        <v>0</v>
      </c>
      <c r="AG2">
        <f>BDH("QTTB US Equity","IS_INT_EXPENSE","1993-06-18","2026-05-02","Per=Y","Days=T","Dir=V")</f>
        <v>0</v>
      </c>
      <c r="AI2">
        <f>BDH("QTTB US Equity","IS_DEPR_EXP","1993-06-18","2026-05-02","Per=Y","Days=T","Dir=V")</f>
        <v>0</v>
      </c>
      <c r="AK2">
        <f>BDH("QTTB US Equity","CF_CASH_FROM_OPER","1993-06-18","2026-05-02","Per=Y","Days=T","Dir=V")</f>
        <v>0</v>
      </c>
      <c r="AM2">
        <f>BDH("QTTB US Equity","CAPITAL_EXPEND","1993-06-18","2026-05-02","Per=Y","Days=T","Dir=V")</f>
        <v>0</v>
      </c>
      <c r="AO2">
        <f>BDH("QTTB US Equity","CF_FREE_CASH_FLOW","1993-06-18","2026-05-02","Per=Y","Days=T","Dir=V")</f>
        <v>0</v>
      </c>
      <c r="AQ2">
        <f>BDH("QTTB US Equity","PX_LAST","1993-06-18","2026-05-02","Per=M","Days=T","Dir=V")</f>
        <v>0</v>
      </c>
      <c r="AS2">
        <f>BDH("QTTB US Equity","CUR_MKT_CAP","1993-06-18","2026-05-02","Per=M","Days=T","Dir=V")</f>
        <v>0</v>
      </c>
      <c r="AU2">
        <f>BDH("QTTB US Equity","EQY_SH_OUT","1993-06-18","2026-05-02","Per=M","Days=T","Dir=V")</f>
        <v>0</v>
      </c>
      <c r="AW2">
        <f>BDH("QTTB US Equity","PX_VOLUME","1993-06-18","2026-05-02","Per=M","Days=T","Dir=V")</f>
        <v>0</v>
      </c>
      <c r="AY2">
        <f>BDH("QTTB US Equity","TURNOVER","1993-06-18","2026-05-02","Per=M","Days=T","Dir=V")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BDH("QTWO US Equity","BS_TOT_ASSET","1993-06-18","2026-05-02","Per=Y","Days=T","Dir=V")</f>
        <v>0</v>
      </c>
      <c r="C2">
        <f>BDH("QTWO US Equity","BS_TOT_LIAB2","1993-06-18","2026-05-02","Per=Y","Days=T","Dir=V")</f>
        <v>0</v>
      </c>
      <c r="E2">
        <f>BDH("QTWO US Equity","SHORT_AND_LONG_TERM_DEBT","1993-06-18","2026-05-02","Per=Y","Days=T","Dir=V")</f>
        <v>0</v>
      </c>
      <c r="G2">
        <f>BDH("QTWO US Equity","BS_ST_BORROW","1993-06-18","2026-05-02","Per=Y","Days=T","Dir=V")</f>
        <v>0</v>
      </c>
      <c r="I2">
        <f>BDH("QTWO US Equity","BS_LT_BORROW","1993-06-18","2026-05-02","Per=Y","Days=T","Dir=V")</f>
        <v>0</v>
      </c>
      <c r="K2">
        <f>BDH("QTWO US Equity","BS_CASH_NEAR_CASH_ITEM","1993-06-18","2026-05-02","Per=Y","Days=T","Dir=V")</f>
        <v>0</v>
      </c>
      <c r="M2">
        <f>BDH("QTWO US Equity","BS_CUR_ASSET_REPORT","1993-06-18","2026-05-02","Per=Y","Days=T","Dir=V")</f>
        <v>0</v>
      </c>
      <c r="O2">
        <f>BDH("QTWO US Equity","BS_CUR_LIAB","1993-06-18","2026-05-02","Per=Y","Days=T","Dir=V")</f>
        <v>0</v>
      </c>
      <c r="Q2">
        <f>BDH("QTWO US Equity","BS_SHAREHOLDER_EQY_ENDING_PERIOD","1993-06-18","2026-05-02","Per=Y","Days=T","Dir=V")</f>
        <v>0</v>
      </c>
      <c r="S2">
        <f>BDH("QTWO US Equity","BS_ACCT_NOTE_RCV","1993-06-18","2026-05-02","Per=Y","Days=T","Dir=V")</f>
        <v>0</v>
      </c>
      <c r="U2">
        <f>BDH("QTWO US Equity","BS_INVENTORIES","1993-06-18","2026-05-02","Per=Y","Days=T","Dir=V")</f>
        <v>0</v>
      </c>
      <c r="W2">
        <f>BDH("QTWO US Equity","WORKING_CAPITAL","1993-06-18","2026-05-02","Per=Y","Days=T","Dir=V")</f>
        <v>0</v>
      </c>
      <c r="Y2">
        <f>BDH("QTWO US Equity","SALES_REV_TURN","1993-06-18","2026-05-02","Per=Y","Days=T","Dir=V")</f>
        <v>0</v>
      </c>
      <c r="AA2">
        <f>BDH("QTWO US Equity","EBIT","1993-06-18","2026-05-02","Per=Y","Days=T","Dir=V")</f>
        <v>0</v>
      </c>
      <c r="AC2">
        <f>BDH("QTWO US Equity","EBITDA","1993-06-18","2026-05-02","Per=Y","Days=T","Dir=V")</f>
        <v>0</v>
      </c>
      <c r="AE2">
        <f>BDH("QTWO US Equity","NET_INCOME","1993-06-18","2026-05-02","Per=Y","Days=T","Dir=V")</f>
        <v>0</v>
      </c>
      <c r="AG2">
        <f>BDH("QTWO US Equity","IS_INT_EXPENSE","1993-06-18","2026-05-02","Per=Y","Days=T","Dir=V")</f>
        <v>0</v>
      </c>
      <c r="AI2">
        <f>BDH("QTWO US Equity","IS_DEPR_EXP","1993-06-18","2026-05-02","Per=Y","Days=T","Dir=V")</f>
        <v>0</v>
      </c>
      <c r="AK2">
        <f>BDH("QTWO US Equity","CF_CASH_FROM_OPER","1993-06-18","2026-05-02","Per=Y","Days=T","Dir=V")</f>
        <v>0</v>
      </c>
      <c r="AM2">
        <f>BDH("QTWO US Equity","CAPITAL_EXPEND","1993-06-18","2026-05-02","Per=Y","Days=T","Dir=V")</f>
        <v>0</v>
      </c>
      <c r="AO2">
        <f>BDH("QTWO US Equity","CF_FREE_CASH_FLOW","1993-06-18","2026-05-02","Per=Y","Days=T","Dir=V")</f>
        <v>0</v>
      </c>
      <c r="AQ2">
        <f>BDH("QTWO US Equity","PX_LAST","1993-06-18","2026-05-02","Per=M","Days=T","Dir=V")</f>
        <v>0</v>
      </c>
      <c r="AS2">
        <f>BDH("QTWO US Equity","CUR_MKT_CAP","1993-06-18","2026-05-02","Per=M","Days=T","Dir=V")</f>
        <v>0</v>
      </c>
      <c r="AU2">
        <f>BDH("QTWO US Equity","EQY_SH_OUT","1993-06-18","2026-05-02","Per=M","Days=T","Dir=V")</f>
        <v>0</v>
      </c>
      <c r="AW2">
        <f>BDH("QTWO US Equity","PX_VOLUME","1993-06-18","2026-05-02","Per=M","Days=T","Dir=V")</f>
        <v>0</v>
      </c>
      <c r="AY2">
        <f>BDH("QTWO US Equity","TURNOVER","1993-06-18","2026-05-02","Per=M","Days=T","Dir=V")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BDH("QUAD US Equity","BS_TOT_ASSET","1993-06-18","2026-05-02","Per=Y","Days=T","Dir=V")</f>
        <v>0</v>
      </c>
      <c r="C2">
        <f>BDH("QUAD US Equity","BS_TOT_LIAB2","1993-06-18","2026-05-02","Per=Y","Days=T","Dir=V")</f>
        <v>0</v>
      </c>
      <c r="E2">
        <f>BDH("QUAD US Equity","SHORT_AND_LONG_TERM_DEBT","1993-06-18","2026-05-02","Per=Y","Days=T","Dir=V")</f>
        <v>0</v>
      </c>
      <c r="G2">
        <f>BDH("QUAD US Equity","BS_ST_BORROW","1993-06-18","2026-05-02","Per=Y","Days=T","Dir=V")</f>
        <v>0</v>
      </c>
      <c r="I2">
        <f>BDH("QUAD US Equity","BS_LT_BORROW","1993-06-18","2026-05-02","Per=Y","Days=T","Dir=V")</f>
        <v>0</v>
      </c>
      <c r="K2">
        <f>BDH("QUAD US Equity","BS_CASH_NEAR_CASH_ITEM","1993-06-18","2026-05-02","Per=Y","Days=T","Dir=V")</f>
        <v>0</v>
      </c>
      <c r="M2">
        <f>BDH("QUAD US Equity","BS_CUR_ASSET_REPORT","1993-06-18","2026-05-02","Per=Y","Days=T","Dir=V")</f>
        <v>0</v>
      </c>
      <c r="O2">
        <f>BDH("QUAD US Equity","BS_CUR_LIAB","1993-06-18","2026-05-02","Per=Y","Days=T","Dir=V")</f>
        <v>0</v>
      </c>
      <c r="Q2">
        <f>BDH("QUAD US Equity","BS_SHAREHOLDER_EQY_ENDING_PERIOD","1993-06-18","2026-05-02","Per=Y","Days=T","Dir=V")</f>
        <v>0</v>
      </c>
      <c r="S2">
        <f>BDH("QUAD US Equity","BS_ACCT_NOTE_RCV","1993-06-18","2026-05-02","Per=Y","Days=T","Dir=V")</f>
        <v>0</v>
      </c>
      <c r="U2">
        <f>BDH("QUAD US Equity","BS_INVENTORIES","1993-06-18","2026-05-02","Per=Y","Days=T","Dir=V")</f>
        <v>0</v>
      </c>
      <c r="W2">
        <f>BDH("QUAD US Equity","WORKING_CAPITAL","1993-06-18","2026-05-02","Per=Y","Days=T","Dir=V")</f>
        <v>0</v>
      </c>
      <c r="Y2">
        <f>BDH("QUAD US Equity","SALES_REV_TURN","1993-06-18","2026-05-02","Per=Y","Days=T","Dir=V")</f>
        <v>0</v>
      </c>
      <c r="AA2">
        <f>BDH("QUAD US Equity","EBIT","1993-06-18","2026-05-02","Per=Y","Days=T","Dir=V")</f>
        <v>0</v>
      </c>
      <c r="AC2">
        <f>BDH("QUAD US Equity","EBITDA","1993-06-18","2026-05-02","Per=Y","Days=T","Dir=V")</f>
        <v>0</v>
      </c>
      <c r="AE2">
        <f>BDH("QUAD US Equity","NET_INCOME","1993-06-18","2026-05-02","Per=Y","Days=T","Dir=V")</f>
        <v>0</v>
      </c>
      <c r="AG2">
        <f>BDH("QUAD US Equity","IS_INT_EXPENSE","1993-06-18","2026-05-02","Per=Y","Days=T","Dir=V")</f>
        <v>0</v>
      </c>
      <c r="AI2">
        <f>BDH("QUAD US Equity","IS_DEPR_EXP","1993-06-18","2026-05-02","Per=Y","Days=T","Dir=V")</f>
        <v>0</v>
      </c>
      <c r="AK2">
        <f>BDH("QUAD US Equity","CF_CASH_FROM_OPER","1993-06-18","2026-05-02","Per=Y","Days=T","Dir=V")</f>
        <v>0</v>
      </c>
      <c r="AM2">
        <f>BDH("QUAD US Equity","CAPITAL_EXPEND","1993-06-18","2026-05-02","Per=Y","Days=T","Dir=V")</f>
        <v>0</v>
      </c>
      <c r="AO2">
        <f>BDH("QUAD US Equity","CF_FREE_CASH_FLOW","1993-06-18","2026-05-02","Per=Y","Days=T","Dir=V")</f>
        <v>0</v>
      </c>
      <c r="AQ2">
        <f>BDH("QUAD US Equity","PX_LAST","1993-06-18","2026-05-02","Per=M","Days=T","Dir=V")</f>
        <v>0</v>
      </c>
      <c r="AS2">
        <f>BDH("QUAD US Equity","CUR_MKT_CAP","1993-06-18","2026-05-02","Per=M","Days=T","Dir=V")</f>
        <v>0</v>
      </c>
      <c r="AU2">
        <f>BDH("QUAD US Equity","EQY_SH_OUT","1993-06-18","2026-05-02","Per=M","Days=T","Dir=V")</f>
        <v>0</v>
      </c>
      <c r="AW2">
        <f>BDH("QUAD US Equity","PX_VOLUME","1993-06-18","2026-05-02","Per=M","Days=T","Dir=V")</f>
        <v>0</v>
      </c>
      <c r="AY2">
        <f>BDH("QUAD US Equity","TURNOVER","1993-06-18","2026-05-02","Per=M","Days=T","Dir=V")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BDH("QUBT US Equity","BS_TOT_ASSET","1993-06-18","2026-05-02","Per=Y","Days=T","Dir=V")</f>
        <v>0</v>
      </c>
      <c r="C2">
        <f>BDH("QUBT US Equity","BS_TOT_LIAB2","1993-06-18","2026-05-02","Per=Y","Days=T","Dir=V")</f>
        <v>0</v>
      </c>
      <c r="E2">
        <f>BDH("QUBT US Equity","SHORT_AND_LONG_TERM_DEBT","1993-06-18","2026-05-02","Per=Y","Days=T","Dir=V")</f>
        <v>0</v>
      </c>
      <c r="G2">
        <f>BDH("QUBT US Equity","BS_ST_BORROW","1993-06-18","2026-05-02","Per=Y","Days=T","Dir=V")</f>
        <v>0</v>
      </c>
      <c r="I2">
        <f>BDH("QUBT US Equity","BS_LT_BORROW","1993-06-18","2026-05-02","Per=Y","Days=T","Dir=V")</f>
        <v>0</v>
      </c>
      <c r="K2">
        <f>BDH("QUBT US Equity","BS_CASH_NEAR_CASH_ITEM","1993-06-18","2026-05-02","Per=Y","Days=T","Dir=V")</f>
        <v>0</v>
      </c>
      <c r="M2">
        <f>BDH("QUBT US Equity","BS_CUR_ASSET_REPORT","1993-06-18","2026-05-02","Per=Y","Days=T","Dir=V")</f>
        <v>0</v>
      </c>
      <c r="O2">
        <f>BDH("QUBT US Equity","BS_CUR_LIAB","1993-06-18","2026-05-02","Per=Y","Days=T","Dir=V")</f>
        <v>0</v>
      </c>
      <c r="Q2">
        <f>BDH("QUBT US Equity","BS_SHAREHOLDER_EQY_ENDING_PERIOD","1993-06-18","2026-05-02","Per=Y","Days=T","Dir=V")</f>
        <v>0</v>
      </c>
      <c r="S2">
        <f>BDH("QUBT US Equity","BS_ACCT_NOTE_RCV","1993-06-18","2026-05-02","Per=Y","Days=T","Dir=V")</f>
        <v>0</v>
      </c>
      <c r="U2">
        <f>BDH("QUBT US Equity","BS_INVENTORIES","1993-06-18","2026-05-02","Per=Y","Days=T","Dir=V")</f>
        <v>0</v>
      </c>
      <c r="W2">
        <f>BDH("QUBT US Equity","WORKING_CAPITAL","1993-06-18","2026-05-02","Per=Y","Days=T","Dir=V")</f>
        <v>0</v>
      </c>
      <c r="Y2">
        <f>BDH("QUBT US Equity","SALES_REV_TURN","1993-06-18","2026-05-02","Per=Y","Days=T","Dir=V")</f>
        <v>0</v>
      </c>
      <c r="AA2">
        <f>BDH("QUBT US Equity","EBIT","1993-06-18","2026-05-02","Per=Y","Days=T","Dir=V")</f>
        <v>0</v>
      </c>
      <c r="AC2">
        <f>BDH("QUBT US Equity","EBITDA","1993-06-18","2026-05-02","Per=Y","Days=T","Dir=V")</f>
        <v>0</v>
      </c>
      <c r="AE2">
        <f>BDH("QUBT US Equity","NET_INCOME","1993-06-18","2026-05-02","Per=Y","Days=T","Dir=V")</f>
        <v>0</v>
      </c>
      <c r="AG2">
        <f>BDH("QUBT US Equity","IS_INT_EXPENSE","1993-06-18","2026-05-02","Per=Y","Days=T","Dir=V")</f>
        <v>0</v>
      </c>
      <c r="AI2">
        <f>BDH("QUBT US Equity","IS_DEPR_EXP","1993-06-18","2026-05-02","Per=Y","Days=T","Dir=V")</f>
        <v>0</v>
      </c>
      <c r="AK2">
        <f>BDH("QUBT US Equity","CF_CASH_FROM_OPER","1993-06-18","2026-05-02","Per=Y","Days=T","Dir=V")</f>
        <v>0</v>
      </c>
      <c r="AM2">
        <f>BDH("QUBT US Equity","CAPITAL_EXPEND","1993-06-18","2026-05-02","Per=Y","Days=T","Dir=V")</f>
        <v>0</v>
      </c>
      <c r="AO2">
        <f>BDH("QUBT US Equity","CF_FREE_CASH_FLOW","1993-06-18","2026-05-02","Per=Y","Days=T","Dir=V")</f>
        <v>0</v>
      </c>
      <c r="AQ2">
        <f>BDH("QUBT US Equity","PX_LAST","1993-06-18","2026-05-02","Per=M","Days=T","Dir=V")</f>
        <v>0</v>
      </c>
      <c r="AS2">
        <f>BDH("QUBT US Equity","CUR_MKT_CAP","1993-06-18","2026-05-02","Per=M","Days=T","Dir=V")</f>
        <v>0</v>
      </c>
      <c r="AU2">
        <f>BDH("QUBT US Equity","EQY_SH_OUT","1993-06-18","2026-05-02","Per=M","Days=T","Dir=V")</f>
        <v>0</v>
      </c>
      <c r="AW2">
        <f>BDH("QUBT US Equity","PX_VOLUME","1993-06-18","2026-05-02","Per=M","Days=T","Dir=V")</f>
        <v>0</v>
      </c>
      <c r="AY2">
        <f>BDH("QUBT US Equity","TURNOVER","1993-06-18","2026-05-02","Per=M","Days=T","Dir=V")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BDH("QUIK US Equity","BS_TOT_ASSET","1993-06-18","2026-05-02","Per=Y","Days=T","Dir=V")</f>
        <v>0</v>
      </c>
      <c r="C2">
        <f>BDH("QUIK US Equity","BS_TOT_LIAB2","1993-06-18","2026-05-02","Per=Y","Days=T","Dir=V")</f>
        <v>0</v>
      </c>
      <c r="E2">
        <f>BDH("QUIK US Equity","SHORT_AND_LONG_TERM_DEBT","1993-06-18","2026-05-02","Per=Y","Days=T","Dir=V")</f>
        <v>0</v>
      </c>
      <c r="G2">
        <f>BDH("QUIK US Equity","BS_ST_BORROW","1993-06-18","2026-05-02","Per=Y","Days=T","Dir=V")</f>
        <v>0</v>
      </c>
      <c r="I2">
        <f>BDH("QUIK US Equity","BS_LT_BORROW","1993-06-18","2026-05-02","Per=Y","Days=T","Dir=V")</f>
        <v>0</v>
      </c>
      <c r="K2">
        <f>BDH("QUIK US Equity","BS_CASH_NEAR_CASH_ITEM","1993-06-18","2026-05-02","Per=Y","Days=T","Dir=V")</f>
        <v>0</v>
      </c>
      <c r="M2">
        <f>BDH("QUIK US Equity","BS_CUR_ASSET_REPORT","1993-06-18","2026-05-02","Per=Y","Days=T","Dir=V")</f>
        <v>0</v>
      </c>
      <c r="O2">
        <f>BDH("QUIK US Equity","BS_CUR_LIAB","1993-06-18","2026-05-02","Per=Y","Days=T","Dir=V")</f>
        <v>0</v>
      </c>
      <c r="Q2">
        <f>BDH("QUIK US Equity","BS_SHAREHOLDER_EQY_ENDING_PERIOD","1993-06-18","2026-05-02","Per=Y","Days=T","Dir=V")</f>
        <v>0</v>
      </c>
      <c r="S2">
        <f>BDH("QUIK US Equity","BS_ACCT_NOTE_RCV","1993-06-18","2026-05-02","Per=Y","Days=T","Dir=V")</f>
        <v>0</v>
      </c>
      <c r="U2">
        <f>BDH("QUIK US Equity","BS_INVENTORIES","1993-06-18","2026-05-02","Per=Y","Days=T","Dir=V")</f>
        <v>0</v>
      </c>
      <c r="W2">
        <f>BDH("QUIK US Equity","WORKING_CAPITAL","1993-06-18","2026-05-02","Per=Y","Days=T","Dir=V")</f>
        <v>0</v>
      </c>
      <c r="Y2">
        <f>BDH("QUIK US Equity","SALES_REV_TURN","1993-06-18","2026-05-02","Per=Y","Days=T","Dir=V")</f>
        <v>0</v>
      </c>
      <c r="AA2">
        <f>BDH("QUIK US Equity","EBIT","1993-06-18","2026-05-02","Per=Y","Days=T","Dir=V")</f>
        <v>0</v>
      </c>
      <c r="AC2">
        <f>BDH("QUIK US Equity","EBITDA","1993-06-18","2026-05-02","Per=Y","Days=T","Dir=V")</f>
        <v>0</v>
      </c>
      <c r="AE2">
        <f>BDH("QUIK US Equity","NET_INCOME","1993-06-18","2026-05-02","Per=Y","Days=T","Dir=V")</f>
        <v>0</v>
      </c>
      <c r="AG2">
        <f>BDH("QUIK US Equity","IS_INT_EXPENSE","1993-06-18","2026-05-02","Per=Y","Days=T","Dir=V")</f>
        <v>0</v>
      </c>
      <c r="AI2">
        <f>BDH("QUIK US Equity","IS_DEPR_EXP","1993-06-18","2026-05-02","Per=Y","Days=T","Dir=V")</f>
        <v>0</v>
      </c>
      <c r="AK2">
        <f>BDH("QUIK US Equity","CF_CASH_FROM_OPER","1993-06-18","2026-05-02","Per=Y","Days=T","Dir=V")</f>
        <v>0</v>
      </c>
      <c r="AM2">
        <f>BDH("QUIK US Equity","CAPITAL_EXPEND","1993-06-18","2026-05-02","Per=Y","Days=T","Dir=V")</f>
        <v>0</v>
      </c>
      <c r="AO2">
        <f>BDH("QUIK US Equity","CF_FREE_CASH_FLOW","1993-06-18","2026-05-02","Per=Y","Days=T","Dir=V")</f>
        <v>0</v>
      </c>
      <c r="AQ2">
        <f>BDH("QUIK US Equity","PX_LAST","1993-06-18","2026-05-02","Per=M","Days=T","Dir=V")</f>
        <v>0</v>
      </c>
      <c r="AS2">
        <f>BDH("QUIK US Equity","CUR_MKT_CAP","1993-06-18","2026-05-02","Per=M","Days=T","Dir=V")</f>
        <v>0</v>
      </c>
      <c r="AU2">
        <f>BDH("QUIK US Equity","EQY_SH_OUT","1993-06-18","2026-05-02","Per=M","Days=T","Dir=V")</f>
        <v>0</v>
      </c>
      <c r="AW2">
        <f>BDH("QUIK US Equity","PX_VOLUME","1993-06-18","2026-05-02","Per=M","Days=T","Dir=V")</f>
        <v>0</v>
      </c>
      <c r="AY2">
        <f>BDH("QUIK US Equity","TURNOVER","1993-06-18","2026-05-02","Per=M","Days=T","Dir=V")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BDH("QVCG US Equity","BS_TOT_ASSET","1993-06-18","2026-05-02","Per=Y","Days=T","Dir=V")</f>
        <v>0</v>
      </c>
      <c r="C2">
        <f>BDH("QVCG US Equity","BS_TOT_LIAB2","1993-06-18","2026-05-02","Per=Y","Days=T","Dir=V")</f>
        <v>0</v>
      </c>
      <c r="E2">
        <f>BDH("QVCG US Equity","SHORT_AND_LONG_TERM_DEBT","1993-06-18","2026-05-02","Per=Y","Days=T","Dir=V")</f>
        <v>0</v>
      </c>
      <c r="G2">
        <f>BDH("QVCG US Equity","BS_ST_BORROW","1993-06-18","2026-05-02","Per=Y","Days=T","Dir=V")</f>
        <v>0</v>
      </c>
      <c r="I2">
        <f>BDH("QVCG US Equity","BS_LT_BORROW","1993-06-18","2026-05-02","Per=Y","Days=T","Dir=V")</f>
        <v>0</v>
      </c>
      <c r="K2">
        <f>BDH("QVCG US Equity","BS_CASH_NEAR_CASH_ITEM","1993-06-18","2026-05-02","Per=Y","Days=T","Dir=V")</f>
        <v>0</v>
      </c>
      <c r="M2">
        <f>BDH("QVCG US Equity","BS_CUR_ASSET_REPORT","1993-06-18","2026-05-02","Per=Y","Days=T","Dir=V")</f>
        <v>0</v>
      </c>
      <c r="O2">
        <f>BDH("QVCG US Equity","BS_CUR_LIAB","1993-06-18","2026-05-02","Per=Y","Days=T","Dir=V")</f>
        <v>0</v>
      </c>
      <c r="Q2">
        <f>BDH("QVCG US Equity","BS_SHAREHOLDER_EQY_ENDING_PERIOD","1993-06-18","2026-05-02","Per=Y","Days=T","Dir=V")</f>
        <v>0</v>
      </c>
      <c r="S2">
        <f>BDH("QVCG US Equity","BS_ACCT_NOTE_RCV","1993-06-18","2026-05-02","Per=Y","Days=T","Dir=V")</f>
        <v>0</v>
      </c>
      <c r="U2">
        <f>BDH("QVCG US Equity","BS_INVENTORIES","1993-06-18","2026-05-02","Per=Y","Days=T","Dir=V")</f>
        <v>0</v>
      </c>
      <c r="W2">
        <f>BDH("QVCG US Equity","WORKING_CAPITAL","1993-06-18","2026-05-02","Per=Y","Days=T","Dir=V")</f>
        <v>0</v>
      </c>
      <c r="Y2">
        <f>BDH("QVCG US Equity","SALES_REV_TURN","1993-06-18","2026-05-02","Per=Y","Days=T","Dir=V")</f>
        <v>0</v>
      </c>
      <c r="AA2">
        <f>BDH("QVCG US Equity","EBIT","1993-06-18","2026-05-02","Per=Y","Days=T","Dir=V")</f>
        <v>0</v>
      </c>
      <c r="AC2">
        <f>BDH("QVCG US Equity","EBITDA","1993-06-18","2026-05-02","Per=Y","Days=T","Dir=V")</f>
        <v>0</v>
      </c>
      <c r="AE2">
        <f>BDH("QVCG US Equity","NET_INCOME","1993-06-18","2026-05-02","Per=Y","Days=T","Dir=V")</f>
        <v>0</v>
      </c>
      <c r="AG2">
        <f>BDH("QVCG US Equity","IS_INT_EXPENSE","1993-06-18","2026-05-02","Per=Y","Days=T","Dir=V")</f>
        <v>0</v>
      </c>
      <c r="AI2">
        <f>BDH("QVCG US Equity","IS_DEPR_EXP","1993-06-18","2026-05-02","Per=Y","Days=T","Dir=V")</f>
        <v>0</v>
      </c>
      <c r="AK2">
        <f>BDH("QVCG US Equity","CF_CASH_FROM_OPER","1993-06-18","2026-05-02","Per=Y","Days=T","Dir=V")</f>
        <v>0</v>
      </c>
      <c r="AM2">
        <f>BDH("QVCG US Equity","CAPITAL_EXPEND","1993-06-18","2026-05-02","Per=Y","Days=T","Dir=V")</f>
        <v>0</v>
      </c>
      <c r="AO2">
        <f>BDH("QVCG US Equity","CF_FREE_CASH_FLOW","1993-06-18","2026-05-02","Per=Y","Days=T","Dir=V")</f>
        <v>0</v>
      </c>
      <c r="AQ2">
        <f>BDH("QVCG US Equity","PX_LAST","1993-06-18","2026-05-02","Per=M","Days=T","Dir=V")</f>
        <v>0</v>
      </c>
      <c r="AS2">
        <f>BDH("QVCG US Equity","CUR_MKT_CAP","1993-06-18","2026-05-02","Per=M","Days=T","Dir=V")</f>
        <v>0</v>
      </c>
      <c r="AU2">
        <f>BDH("QVCG US Equity","EQY_SH_OUT","1993-06-18","2026-05-02","Per=M","Days=T","Dir=V")</f>
        <v>0</v>
      </c>
      <c r="AW2">
        <f>BDH("QVCG US Equity","PX_VOLUME","1993-06-18","2026-05-02","Per=M","Days=T","Dir=V")</f>
        <v>0</v>
      </c>
      <c r="AY2">
        <f>BDH("QVCG US Equity","TURNOVER","1993-06-18","2026-05-02","Per=M","Days=T","Dir=V")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BDH("QXO US Equity","BS_TOT_ASSET","1993-06-18","2026-05-02","Per=Y","Days=T","Dir=V")</f>
        <v>0</v>
      </c>
      <c r="C2">
        <f>BDH("QXO US Equity","BS_TOT_LIAB2","1993-06-18","2026-05-02","Per=Y","Days=T","Dir=V")</f>
        <v>0</v>
      </c>
      <c r="E2">
        <f>BDH("QXO US Equity","SHORT_AND_LONG_TERM_DEBT","1993-06-18","2026-05-02","Per=Y","Days=T","Dir=V")</f>
        <v>0</v>
      </c>
      <c r="G2">
        <f>BDH("QXO US Equity","BS_ST_BORROW","1993-06-18","2026-05-02","Per=Y","Days=T","Dir=V")</f>
        <v>0</v>
      </c>
      <c r="I2">
        <f>BDH("QXO US Equity","BS_LT_BORROW","1993-06-18","2026-05-02","Per=Y","Days=T","Dir=V")</f>
        <v>0</v>
      </c>
      <c r="K2">
        <f>BDH("QXO US Equity","BS_CASH_NEAR_CASH_ITEM","1993-06-18","2026-05-02","Per=Y","Days=T","Dir=V")</f>
        <v>0</v>
      </c>
      <c r="M2">
        <f>BDH("QXO US Equity","BS_CUR_ASSET_REPORT","1993-06-18","2026-05-02","Per=Y","Days=T","Dir=V")</f>
        <v>0</v>
      </c>
      <c r="O2">
        <f>BDH("QXO US Equity","BS_CUR_LIAB","1993-06-18","2026-05-02","Per=Y","Days=T","Dir=V")</f>
        <v>0</v>
      </c>
      <c r="Q2">
        <f>BDH("QXO US Equity","BS_SHAREHOLDER_EQY_ENDING_PERIOD","1993-06-18","2026-05-02","Per=Y","Days=T","Dir=V")</f>
        <v>0</v>
      </c>
      <c r="S2">
        <f>BDH("QXO US Equity","BS_ACCT_NOTE_RCV","1993-06-18","2026-05-02","Per=Y","Days=T","Dir=V")</f>
        <v>0</v>
      </c>
      <c r="U2">
        <f>BDH("QXO US Equity","BS_INVENTORIES","1993-06-18","2026-05-02","Per=Y","Days=T","Dir=V")</f>
        <v>0</v>
      </c>
      <c r="W2">
        <f>BDH("QXO US Equity","WORKING_CAPITAL","1993-06-18","2026-05-02","Per=Y","Days=T","Dir=V")</f>
        <v>0</v>
      </c>
      <c r="Y2">
        <f>BDH("QXO US Equity","SALES_REV_TURN","1993-06-18","2026-05-02","Per=Y","Days=T","Dir=V")</f>
        <v>0</v>
      </c>
      <c r="AA2">
        <f>BDH("QXO US Equity","EBIT","1993-06-18","2026-05-02","Per=Y","Days=T","Dir=V")</f>
        <v>0</v>
      </c>
      <c r="AC2">
        <f>BDH("QXO US Equity","EBITDA","1993-06-18","2026-05-02","Per=Y","Days=T","Dir=V")</f>
        <v>0</v>
      </c>
      <c r="AE2">
        <f>BDH("QXO US Equity","NET_INCOME","1993-06-18","2026-05-02","Per=Y","Days=T","Dir=V")</f>
        <v>0</v>
      </c>
      <c r="AG2">
        <f>BDH("QXO US Equity","IS_INT_EXPENSE","1993-06-18","2026-05-02","Per=Y","Days=T","Dir=V")</f>
        <v>0</v>
      </c>
      <c r="AI2">
        <f>BDH("QXO US Equity","IS_DEPR_EXP","1993-06-18","2026-05-02","Per=Y","Days=T","Dir=V")</f>
        <v>0</v>
      </c>
      <c r="AK2">
        <f>BDH("QXO US Equity","CF_CASH_FROM_OPER","1993-06-18","2026-05-02","Per=Y","Days=T","Dir=V")</f>
        <v>0</v>
      </c>
      <c r="AM2">
        <f>BDH("QXO US Equity","CAPITAL_EXPEND","1993-06-18","2026-05-02","Per=Y","Days=T","Dir=V")</f>
        <v>0</v>
      </c>
      <c r="AO2">
        <f>BDH("QXO US Equity","CF_FREE_CASH_FLOW","1993-06-18","2026-05-02","Per=Y","Days=T","Dir=V")</f>
        <v>0</v>
      </c>
      <c r="AQ2">
        <f>BDH("QXO US Equity","PX_LAST","1993-06-18","2026-05-02","Per=M","Days=T","Dir=V")</f>
        <v>0</v>
      </c>
      <c r="AS2">
        <f>BDH("QXO US Equity","CUR_MKT_CAP","1993-06-18","2026-05-02","Per=M","Days=T","Dir=V")</f>
        <v>0</v>
      </c>
      <c r="AU2">
        <f>BDH("QXO US Equity","EQY_SH_OUT","1993-06-18","2026-05-02","Per=M","Days=T","Dir=V")</f>
        <v>0</v>
      </c>
      <c r="AW2">
        <f>BDH("QXO US Equity","PX_VOLUME","1993-06-18","2026-05-02","Per=M","Days=T","Dir=V")</f>
        <v>0</v>
      </c>
      <c r="AY2">
        <f>BDH("QXO US Equity","TURNOVER","1993-06-18","2026-05-02","Per=M","Days=T","Dir=V")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 US Equity","BS_TOT_ASSET","1993-06-18","2026-05-02","Per=Y","Days=T","Dir=V")</f>
        <v>0</v>
      </c>
      <c r="C2">
        <f>BDH("R US Equity","BS_TOT_LIAB2","1993-06-18","2026-05-02","Per=Y","Days=T","Dir=V")</f>
        <v>0</v>
      </c>
      <c r="E2">
        <f>BDH("R US Equity","SHORT_AND_LONG_TERM_DEBT","1993-06-18","2026-05-02","Per=Y","Days=T","Dir=V")</f>
        <v>0</v>
      </c>
      <c r="G2">
        <f>BDH("R US Equity","BS_ST_BORROW","1993-06-18","2026-05-02","Per=Y","Days=T","Dir=V")</f>
        <v>0</v>
      </c>
      <c r="I2">
        <f>BDH("R US Equity","BS_LT_BORROW","1993-06-18","2026-05-02","Per=Y","Days=T","Dir=V")</f>
        <v>0</v>
      </c>
      <c r="K2">
        <f>BDH("R US Equity","BS_CASH_NEAR_CASH_ITEM","1993-06-18","2026-05-02","Per=Y","Days=T","Dir=V")</f>
        <v>0</v>
      </c>
      <c r="M2">
        <f>BDH("R US Equity","BS_CUR_ASSET_REPORT","1993-06-18","2026-05-02","Per=Y","Days=T","Dir=V")</f>
        <v>0</v>
      </c>
      <c r="O2">
        <f>BDH("R US Equity","BS_CUR_LIAB","1993-06-18","2026-05-02","Per=Y","Days=T","Dir=V")</f>
        <v>0</v>
      </c>
      <c r="Q2">
        <f>BDH("R US Equity","BS_SHAREHOLDER_EQY_ENDING_PERIOD","1993-06-18","2026-05-02","Per=Y","Days=T","Dir=V")</f>
        <v>0</v>
      </c>
      <c r="S2">
        <f>BDH("R US Equity","BS_ACCT_NOTE_RCV","1993-06-18","2026-05-02","Per=Y","Days=T","Dir=V")</f>
        <v>0</v>
      </c>
      <c r="U2">
        <f>BDH("R US Equity","BS_INVENTORIES","1993-06-18","2026-05-02","Per=Y","Days=T","Dir=V")</f>
        <v>0</v>
      </c>
      <c r="W2">
        <f>BDH("R US Equity","WORKING_CAPITAL","1993-06-18","2026-05-02","Per=Y","Days=T","Dir=V")</f>
        <v>0</v>
      </c>
      <c r="Y2">
        <f>BDH("R US Equity","SALES_REV_TURN","1993-06-18","2026-05-02","Per=Y","Days=T","Dir=V")</f>
        <v>0</v>
      </c>
      <c r="AA2">
        <f>BDH("R US Equity","EBIT","1993-06-18","2026-05-02","Per=Y","Days=T","Dir=V")</f>
        <v>0</v>
      </c>
      <c r="AC2">
        <f>BDH("R US Equity","EBITDA","1993-06-18","2026-05-02","Per=Y","Days=T","Dir=V")</f>
        <v>0</v>
      </c>
      <c r="AE2">
        <f>BDH("R US Equity","NET_INCOME","1993-06-18","2026-05-02","Per=Y","Days=T","Dir=V")</f>
        <v>0</v>
      </c>
      <c r="AG2">
        <f>BDH("R US Equity","IS_INT_EXPENSE","1993-06-18","2026-05-02","Per=Y","Days=T","Dir=V")</f>
        <v>0</v>
      </c>
      <c r="AI2">
        <f>BDH("R US Equity","IS_DEPR_EXP","1993-06-18","2026-05-02","Per=Y","Days=T","Dir=V")</f>
        <v>0</v>
      </c>
      <c r="AK2">
        <f>BDH("R US Equity","CF_CASH_FROM_OPER","1993-06-18","2026-05-02","Per=Y","Days=T","Dir=V")</f>
        <v>0</v>
      </c>
      <c r="AM2">
        <f>BDH("R US Equity","CAPITAL_EXPEND","1993-06-18","2026-05-02","Per=Y","Days=T","Dir=V")</f>
        <v>0</v>
      </c>
      <c r="AO2">
        <f>BDH("R US Equity","CF_FREE_CASH_FLOW","1993-06-18","2026-05-02","Per=Y","Days=T","Dir=V")</f>
        <v>0</v>
      </c>
      <c r="AQ2">
        <f>BDH("R US Equity","PX_LAST","1993-06-18","2026-05-02","Per=M","Days=T","Dir=V")</f>
        <v>0</v>
      </c>
      <c r="AS2">
        <f>BDH("R US Equity","CUR_MKT_CAP","1993-06-18","2026-05-02","Per=M","Days=T","Dir=V")</f>
        <v>0</v>
      </c>
      <c r="AU2">
        <f>BDH("R US Equity","EQY_SH_OUT","1993-06-18","2026-05-02","Per=M","Days=T","Dir=V")</f>
        <v>0</v>
      </c>
      <c r="AW2">
        <f>BDH("R US Equity","PX_VOLUME","1993-06-18","2026-05-02","Per=M","Days=T","Dir=V")</f>
        <v>0</v>
      </c>
      <c r="AY2">
        <f>BDH("R US Equity","TURNOVER","1993-06-18","2026-05-02","Per=M","Days=T","Dir=V")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BDH("RAIL US Equity","BS_TOT_ASSET","1993-06-18","2026-05-02","Per=Y","Days=T","Dir=V")</f>
        <v>0</v>
      </c>
      <c r="C2">
        <f>BDH("RAIL US Equity","BS_TOT_LIAB2","1993-06-18","2026-05-02","Per=Y","Days=T","Dir=V")</f>
        <v>0</v>
      </c>
      <c r="E2">
        <f>BDH("RAIL US Equity","SHORT_AND_LONG_TERM_DEBT","1993-06-18","2026-05-02","Per=Y","Days=T","Dir=V")</f>
        <v>0</v>
      </c>
      <c r="G2">
        <f>BDH("RAIL US Equity","BS_ST_BORROW","1993-06-18","2026-05-02","Per=Y","Days=T","Dir=V")</f>
        <v>0</v>
      </c>
      <c r="I2">
        <f>BDH("RAIL US Equity","BS_LT_BORROW","1993-06-18","2026-05-02","Per=Y","Days=T","Dir=V")</f>
        <v>0</v>
      </c>
      <c r="K2">
        <f>BDH("RAIL US Equity","BS_CASH_NEAR_CASH_ITEM","1993-06-18","2026-05-02","Per=Y","Days=T","Dir=V")</f>
        <v>0</v>
      </c>
      <c r="M2">
        <f>BDH("RAIL US Equity","BS_CUR_ASSET_REPORT","1993-06-18","2026-05-02","Per=Y","Days=T","Dir=V")</f>
        <v>0</v>
      </c>
      <c r="O2">
        <f>BDH("RAIL US Equity","BS_CUR_LIAB","1993-06-18","2026-05-02","Per=Y","Days=T","Dir=V")</f>
        <v>0</v>
      </c>
      <c r="Q2">
        <f>BDH("RAIL US Equity","BS_SHAREHOLDER_EQY_ENDING_PERIOD","1993-06-18","2026-05-02","Per=Y","Days=T","Dir=V")</f>
        <v>0</v>
      </c>
      <c r="S2">
        <f>BDH("RAIL US Equity","BS_ACCT_NOTE_RCV","1993-06-18","2026-05-02","Per=Y","Days=T","Dir=V")</f>
        <v>0</v>
      </c>
      <c r="U2">
        <f>BDH("RAIL US Equity","BS_INVENTORIES","1993-06-18","2026-05-02","Per=Y","Days=T","Dir=V")</f>
        <v>0</v>
      </c>
      <c r="W2">
        <f>BDH("RAIL US Equity","WORKING_CAPITAL","1993-06-18","2026-05-02","Per=Y","Days=T","Dir=V")</f>
        <v>0</v>
      </c>
      <c r="Y2">
        <f>BDH("RAIL US Equity","SALES_REV_TURN","1993-06-18","2026-05-02","Per=Y","Days=T","Dir=V")</f>
        <v>0</v>
      </c>
      <c r="AA2">
        <f>BDH("RAIL US Equity","EBIT","1993-06-18","2026-05-02","Per=Y","Days=T","Dir=V")</f>
        <v>0</v>
      </c>
      <c r="AC2">
        <f>BDH("RAIL US Equity","EBITDA","1993-06-18","2026-05-02","Per=Y","Days=T","Dir=V")</f>
        <v>0</v>
      </c>
      <c r="AE2">
        <f>BDH("RAIL US Equity","NET_INCOME","1993-06-18","2026-05-02","Per=Y","Days=T","Dir=V")</f>
        <v>0</v>
      </c>
      <c r="AG2">
        <f>BDH("RAIL US Equity","IS_INT_EXPENSE","1993-06-18","2026-05-02","Per=Y","Days=T","Dir=V")</f>
        <v>0</v>
      </c>
      <c r="AI2">
        <f>BDH("RAIL US Equity","IS_DEPR_EXP","1993-06-18","2026-05-02","Per=Y","Days=T","Dir=V")</f>
        <v>0</v>
      </c>
      <c r="AK2">
        <f>BDH("RAIL US Equity","CF_CASH_FROM_OPER","1993-06-18","2026-05-02","Per=Y","Days=T","Dir=V")</f>
        <v>0</v>
      </c>
      <c r="AM2">
        <f>BDH("RAIL US Equity","CAPITAL_EXPEND","1993-06-18","2026-05-02","Per=Y","Days=T","Dir=V")</f>
        <v>0</v>
      </c>
      <c r="AO2">
        <f>BDH("RAIL US Equity","CF_FREE_CASH_FLOW","1993-06-18","2026-05-02","Per=Y","Days=T","Dir=V")</f>
        <v>0</v>
      </c>
      <c r="AQ2">
        <f>BDH("RAIL US Equity","PX_LAST","1993-06-18","2026-05-02","Per=M","Days=T","Dir=V")</f>
        <v>0</v>
      </c>
      <c r="AS2">
        <f>BDH("RAIL US Equity","CUR_MKT_CAP","1993-06-18","2026-05-02","Per=M","Days=T","Dir=V")</f>
        <v>0</v>
      </c>
      <c r="AU2">
        <f>BDH("RAIL US Equity","EQY_SH_OUT","1993-06-18","2026-05-02","Per=M","Days=T","Dir=V")</f>
        <v>0</v>
      </c>
      <c r="AW2">
        <f>BDH("RAIL US Equity","PX_VOLUME","1993-06-18","2026-05-02","Per=M","Days=T","Dir=V")</f>
        <v>0</v>
      </c>
      <c r="AY2">
        <f>BDH("RAIL US Equity","TURNOVER","1993-06-18","2026-05-02","Per=M","Days=T","Dir=V")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BDH("RAIN US Equity","BS_TOT_ASSET","1993-06-18","2026-05-02","Per=Y","Days=T","Dir=V")</f>
        <v>0</v>
      </c>
      <c r="C2">
        <f>BDH("RAIN US Equity","BS_TOT_LIAB2","1993-06-18","2026-05-02","Per=Y","Days=T","Dir=V")</f>
        <v>0</v>
      </c>
      <c r="E2">
        <f>BDH("RAIN US Equity","SHORT_AND_LONG_TERM_DEBT","1993-06-18","2026-05-02","Per=Y","Days=T","Dir=V")</f>
        <v>0</v>
      </c>
      <c r="G2">
        <f>BDH("RAIN US Equity","BS_ST_BORROW","1993-06-18","2026-05-02","Per=Y","Days=T","Dir=V")</f>
        <v>0</v>
      </c>
      <c r="I2">
        <f>BDH("RAIN US Equity","BS_LT_BORROW","1993-06-18","2026-05-02","Per=Y","Days=T","Dir=V")</f>
        <v>0</v>
      </c>
      <c r="K2">
        <f>BDH("RAIN US Equity","BS_CASH_NEAR_CASH_ITEM","1993-06-18","2026-05-02","Per=Y","Days=T","Dir=V")</f>
        <v>0</v>
      </c>
      <c r="M2">
        <f>BDH("RAIN US Equity","BS_CUR_ASSET_REPORT","1993-06-18","2026-05-02","Per=Y","Days=T","Dir=V")</f>
        <v>0</v>
      </c>
      <c r="O2">
        <f>BDH("RAIN US Equity","BS_CUR_LIAB","1993-06-18","2026-05-02","Per=Y","Days=T","Dir=V")</f>
        <v>0</v>
      </c>
      <c r="Q2">
        <f>BDH("RAIN US Equity","BS_SHAREHOLDER_EQY_ENDING_PERIOD","1993-06-18","2026-05-02","Per=Y","Days=T","Dir=V")</f>
        <v>0</v>
      </c>
      <c r="S2">
        <f>BDH("RAIN US Equity","BS_ACCT_NOTE_RCV","1993-06-18","2026-05-02","Per=Y","Days=T","Dir=V")</f>
        <v>0</v>
      </c>
      <c r="U2">
        <f>BDH("RAIN US Equity","BS_INVENTORIES","1993-06-18","2026-05-02","Per=Y","Days=T","Dir=V")</f>
        <v>0</v>
      </c>
      <c r="W2">
        <f>BDH("RAIN US Equity","WORKING_CAPITAL","1993-06-18","2026-05-02","Per=Y","Days=T","Dir=V")</f>
        <v>0</v>
      </c>
      <c r="Y2">
        <f>BDH("RAIN US Equity","SALES_REV_TURN","1993-06-18","2026-05-02","Per=Y","Days=T","Dir=V")</f>
        <v>0</v>
      </c>
      <c r="AA2">
        <f>BDH("RAIN US Equity","EBIT","1993-06-18","2026-05-02","Per=Y","Days=T","Dir=V")</f>
        <v>0</v>
      </c>
      <c r="AC2">
        <f>BDH("RAIN US Equity","EBITDA","1993-06-18","2026-05-02","Per=Y","Days=T","Dir=V")</f>
        <v>0</v>
      </c>
      <c r="AE2">
        <f>BDH("RAIN US Equity","NET_INCOME","1993-06-18","2026-05-02","Per=Y","Days=T","Dir=V")</f>
        <v>0</v>
      </c>
      <c r="AG2">
        <f>BDH("RAIN US Equity","IS_INT_EXPENSE","1993-06-18","2026-05-02","Per=Y","Days=T","Dir=V")</f>
        <v>0</v>
      </c>
      <c r="AI2">
        <f>BDH("RAIN US Equity","IS_DEPR_EXP","1993-06-18","2026-05-02","Per=Y","Days=T","Dir=V")</f>
        <v>0</v>
      </c>
      <c r="AK2">
        <f>BDH("RAIN US Equity","CF_CASH_FROM_OPER","1993-06-18","2026-05-02","Per=Y","Days=T","Dir=V")</f>
        <v>0</v>
      </c>
      <c r="AM2">
        <f>BDH("RAIN US Equity","CAPITAL_EXPEND","1993-06-18","2026-05-02","Per=Y","Days=T","Dir=V")</f>
        <v>0</v>
      </c>
      <c r="AO2">
        <f>BDH("RAIN US Equity","CF_FREE_CASH_FLOW","1993-06-18","2026-05-02","Per=Y","Days=T","Dir=V")</f>
        <v>0</v>
      </c>
      <c r="AQ2">
        <f>BDH("RAIN US Equity","PX_LAST","1993-06-18","2026-05-02","Per=M","Days=T","Dir=V")</f>
        <v>0</v>
      </c>
      <c r="AS2">
        <f>BDH("RAIN US Equity","CUR_MKT_CAP","1993-06-18","2026-05-02","Per=M","Days=T","Dir=V")</f>
        <v>0</v>
      </c>
      <c r="AU2">
        <f>BDH("RAIN US Equity","EQY_SH_OUT","1993-06-18","2026-05-02","Per=M","Days=T","Dir=V")</f>
        <v>0</v>
      </c>
      <c r="AW2">
        <f>BDH("RAIN US Equity","PX_VOLUME","1993-06-18","2026-05-02","Per=M","Days=T","Dir=V")</f>
        <v>0</v>
      </c>
      <c r="AY2">
        <f>BDH("RAIN US Equity","TURNOVER","1993-06-18","2026-05-02","Per=M","Days=T","Dir=V")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BDH("RAL US Equity","BS_TOT_ASSET","1993-06-18","2026-05-02","Per=Y","Days=T","Dir=V")</f>
        <v>0</v>
      </c>
      <c r="C2">
        <f>BDH("RAL US Equity","BS_TOT_LIAB2","1993-06-18","2026-05-02","Per=Y","Days=T","Dir=V")</f>
        <v>0</v>
      </c>
      <c r="E2">
        <f>BDH("RAL US Equity","SHORT_AND_LONG_TERM_DEBT","1993-06-18","2026-05-02","Per=Y","Days=T","Dir=V")</f>
        <v>0</v>
      </c>
      <c r="G2">
        <f>BDH("RAL US Equity","BS_ST_BORROW","1993-06-18","2026-05-02","Per=Y","Days=T","Dir=V")</f>
        <v>0</v>
      </c>
      <c r="I2">
        <f>BDH("RAL US Equity","BS_LT_BORROW","1993-06-18","2026-05-02","Per=Y","Days=T","Dir=V")</f>
        <v>0</v>
      </c>
      <c r="K2">
        <f>BDH("RAL US Equity","BS_CASH_NEAR_CASH_ITEM","1993-06-18","2026-05-02","Per=Y","Days=T","Dir=V")</f>
        <v>0</v>
      </c>
      <c r="M2">
        <f>BDH("RAL US Equity","BS_CUR_ASSET_REPORT","1993-06-18","2026-05-02","Per=Y","Days=T","Dir=V")</f>
        <v>0</v>
      </c>
      <c r="O2">
        <f>BDH("RAL US Equity","BS_CUR_LIAB","1993-06-18","2026-05-02","Per=Y","Days=T","Dir=V")</f>
        <v>0</v>
      </c>
      <c r="Q2">
        <f>BDH("RAL US Equity","BS_SHAREHOLDER_EQY_ENDING_PERIOD","1993-06-18","2026-05-02","Per=Y","Days=T","Dir=V")</f>
        <v>0</v>
      </c>
      <c r="S2">
        <f>BDH("RAL US Equity","BS_ACCT_NOTE_RCV","1993-06-18","2026-05-02","Per=Y","Days=T","Dir=V")</f>
        <v>0</v>
      </c>
      <c r="U2">
        <f>BDH("RAL US Equity","BS_INVENTORIES","1993-06-18","2026-05-02","Per=Y","Days=T","Dir=V")</f>
        <v>0</v>
      </c>
      <c r="W2">
        <f>BDH("RAL US Equity","WORKING_CAPITAL","1993-06-18","2026-05-02","Per=Y","Days=T","Dir=V")</f>
        <v>0</v>
      </c>
      <c r="Y2">
        <f>BDH("RAL US Equity","SALES_REV_TURN","1993-06-18","2026-05-02","Per=Y","Days=T","Dir=V")</f>
        <v>0</v>
      </c>
      <c r="AA2">
        <f>BDH("RAL US Equity","EBIT","1993-06-18","2026-05-02","Per=Y","Days=T","Dir=V")</f>
        <v>0</v>
      </c>
      <c r="AC2">
        <f>BDH("RAL US Equity","EBITDA","1993-06-18","2026-05-02","Per=Y","Days=T","Dir=V")</f>
        <v>0</v>
      </c>
      <c r="AE2">
        <f>BDH("RAL US Equity","NET_INCOME","1993-06-18","2026-05-02","Per=Y","Days=T","Dir=V")</f>
        <v>0</v>
      </c>
      <c r="AG2">
        <f>BDH("RAL US Equity","IS_INT_EXPENSE","1993-06-18","2026-05-02","Per=Y","Days=T","Dir=V")</f>
        <v>0</v>
      </c>
      <c r="AI2">
        <f>BDH("RAL US Equity","IS_DEPR_EXP","1993-06-18","2026-05-02","Per=Y","Days=T","Dir=V")</f>
        <v>0</v>
      </c>
      <c r="AK2">
        <f>BDH("RAL US Equity","CF_CASH_FROM_OPER","1993-06-18","2026-05-02","Per=Y","Days=T","Dir=V")</f>
        <v>0</v>
      </c>
      <c r="AM2">
        <f>BDH("RAL US Equity","CAPITAL_EXPEND","1993-06-18","2026-05-02","Per=Y","Days=T","Dir=V")</f>
        <v>0</v>
      </c>
      <c r="AO2">
        <f>BDH("RAL US Equity","CF_FREE_CASH_FLOW","1993-06-18","2026-05-02","Per=Y","Days=T","Dir=V")</f>
        <v>0</v>
      </c>
      <c r="AQ2">
        <f>BDH("RAL US Equity","PX_LAST","1993-06-18","2026-05-02","Per=M","Days=T","Dir=V")</f>
        <v>0</v>
      </c>
      <c r="AS2">
        <f>BDH("RAL US Equity","CUR_MKT_CAP","1993-06-18","2026-05-02","Per=M","Days=T","Dir=V")</f>
        <v>0</v>
      </c>
      <c r="AU2">
        <f>BDH("RAL US Equity","EQY_SH_OUT","1993-06-18","2026-05-02","Per=M","Days=T","Dir=V")</f>
        <v>0</v>
      </c>
      <c r="AW2">
        <f>BDH("RAL US Equity","PX_VOLUME","1993-06-18","2026-05-02","Per=M","Days=T","Dir=V")</f>
        <v>0</v>
      </c>
      <c r="AY2">
        <f>BDH("RAL US Equity","TURNOVER","1993-06-18","2026-05-02","Per=M","Days=T","Dir=V")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BDH("RAMP US Equity","BS_TOT_ASSET","1993-06-18","2026-05-02","Per=Y","Days=T","Dir=V")</f>
        <v>0</v>
      </c>
      <c r="C2">
        <f>BDH("RAMP US Equity","BS_TOT_LIAB2","1993-06-18","2026-05-02","Per=Y","Days=T","Dir=V")</f>
        <v>0</v>
      </c>
      <c r="E2">
        <f>BDH("RAMP US Equity","SHORT_AND_LONG_TERM_DEBT","1993-06-18","2026-05-02","Per=Y","Days=T","Dir=V")</f>
        <v>0</v>
      </c>
      <c r="G2">
        <f>BDH("RAMP US Equity","BS_ST_BORROW","1993-06-18","2026-05-02","Per=Y","Days=T","Dir=V")</f>
        <v>0</v>
      </c>
      <c r="I2">
        <f>BDH("RAMP US Equity","BS_LT_BORROW","1993-06-18","2026-05-02","Per=Y","Days=T","Dir=V")</f>
        <v>0</v>
      </c>
      <c r="K2">
        <f>BDH("RAMP US Equity","BS_CASH_NEAR_CASH_ITEM","1993-06-18","2026-05-02","Per=Y","Days=T","Dir=V")</f>
        <v>0</v>
      </c>
      <c r="M2">
        <f>BDH("RAMP US Equity","BS_CUR_ASSET_REPORT","1993-06-18","2026-05-02","Per=Y","Days=T","Dir=V")</f>
        <v>0</v>
      </c>
      <c r="O2">
        <f>BDH("RAMP US Equity","BS_CUR_LIAB","1993-06-18","2026-05-02","Per=Y","Days=T","Dir=V")</f>
        <v>0</v>
      </c>
      <c r="Q2">
        <f>BDH("RAMP US Equity","BS_SHAREHOLDER_EQY_ENDING_PERIOD","1993-06-18","2026-05-02","Per=Y","Days=T","Dir=V")</f>
        <v>0</v>
      </c>
      <c r="S2">
        <f>BDH("RAMP US Equity","BS_ACCT_NOTE_RCV","1993-06-18","2026-05-02","Per=Y","Days=T","Dir=V")</f>
        <v>0</v>
      </c>
      <c r="U2">
        <f>BDH("RAMP US Equity","BS_INVENTORIES","1993-06-18","2026-05-02","Per=Y","Days=T","Dir=V")</f>
        <v>0</v>
      </c>
      <c r="W2">
        <f>BDH("RAMP US Equity","WORKING_CAPITAL","1993-06-18","2026-05-02","Per=Y","Days=T","Dir=V")</f>
        <v>0</v>
      </c>
      <c r="Y2">
        <f>BDH("RAMP US Equity","SALES_REV_TURN","1993-06-18","2026-05-02","Per=Y","Days=T","Dir=V")</f>
        <v>0</v>
      </c>
      <c r="AA2">
        <f>BDH("RAMP US Equity","EBIT","1993-06-18","2026-05-02","Per=Y","Days=T","Dir=V")</f>
        <v>0</v>
      </c>
      <c r="AC2">
        <f>BDH("RAMP US Equity","EBITDA","1993-06-18","2026-05-02","Per=Y","Days=T","Dir=V")</f>
        <v>0</v>
      </c>
      <c r="AE2">
        <f>BDH("RAMP US Equity","NET_INCOME","1993-06-18","2026-05-02","Per=Y","Days=T","Dir=V")</f>
        <v>0</v>
      </c>
      <c r="AG2">
        <f>BDH("RAMP US Equity","IS_INT_EXPENSE","1993-06-18","2026-05-02","Per=Y","Days=T","Dir=V")</f>
        <v>0</v>
      </c>
      <c r="AI2">
        <f>BDH("RAMP US Equity","IS_DEPR_EXP","1993-06-18","2026-05-02","Per=Y","Days=T","Dir=V")</f>
        <v>0</v>
      </c>
      <c r="AK2">
        <f>BDH("RAMP US Equity","CF_CASH_FROM_OPER","1993-06-18","2026-05-02","Per=Y","Days=T","Dir=V")</f>
        <v>0</v>
      </c>
      <c r="AM2">
        <f>BDH("RAMP US Equity","CAPITAL_EXPEND","1993-06-18","2026-05-02","Per=Y","Days=T","Dir=V")</f>
        <v>0</v>
      </c>
      <c r="AO2">
        <f>BDH("RAMP US Equity","CF_FREE_CASH_FLOW","1993-06-18","2026-05-02","Per=Y","Days=T","Dir=V")</f>
        <v>0</v>
      </c>
      <c r="AQ2">
        <f>BDH("RAMP US Equity","PX_LAST","1993-06-18","2026-05-02","Per=M","Days=T","Dir=V")</f>
        <v>0</v>
      </c>
      <c r="AS2">
        <f>BDH("RAMP US Equity","CUR_MKT_CAP","1993-06-18","2026-05-02","Per=M","Days=T","Dir=V")</f>
        <v>0</v>
      </c>
      <c r="AU2">
        <f>BDH("RAMP US Equity","EQY_SH_OUT","1993-06-18","2026-05-02","Per=M","Days=T","Dir=V")</f>
        <v>0</v>
      </c>
      <c r="AW2">
        <f>BDH("RAMP US Equity","PX_VOLUME","1993-06-18","2026-05-02","Per=M","Days=T","Dir=V")</f>
        <v>0</v>
      </c>
      <c r="AY2">
        <f>BDH("RAMP US Equity","TURNOVER","1993-06-18","2026-05-02","Per=M","Days=T","Dir=V")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BDH("RANI US Equity","BS_TOT_ASSET","1993-06-18","2026-05-02","Per=Y","Days=T","Dir=V")</f>
        <v>0</v>
      </c>
      <c r="C2">
        <f>BDH("RANI US Equity","BS_TOT_LIAB2","1993-06-18","2026-05-02","Per=Y","Days=T","Dir=V")</f>
        <v>0</v>
      </c>
      <c r="E2">
        <f>BDH("RANI US Equity","SHORT_AND_LONG_TERM_DEBT","1993-06-18","2026-05-02","Per=Y","Days=T","Dir=V")</f>
        <v>0</v>
      </c>
      <c r="G2">
        <f>BDH("RANI US Equity","BS_ST_BORROW","1993-06-18","2026-05-02","Per=Y","Days=T","Dir=V")</f>
        <v>0</v>
      </c>
      <c r="I2">
        <f>BDH("RANI US Equity","BS_LT_BORROW","1993-06-18","2026-05-02","Per=Y","Days=T","Dir=V")</f>
        <v>0</v>
      </c>
      <c r="K2">
        <f>BDH("RANI US Equity","BS_CASH_NEAR_CASH_ITEM","1993-06-18","2026-05-02","Per=Y","Days=T","Dir=V")</f>
        <v>0</v>
      </c>
      <c r="M2">
        <f>BDH("RANI US Equity","BS_CUR_ASSET_REPORT","1993-06-18","2026-05-02","Per=Y","Days=T","Dir=V")</f>
        <v>0</v>
      </c>
      <c r="O2">
        <f>BDH("RANI US Equity","BS_CUR_LIAB","1993-06-18","2026-05-02","Per=Y","Days=T","Dir=V")</f>
        <v>0</v>
      </c>
      <c r="Q2">
        <f>BDH("RANI US Equity","BS_SHAREHOLDER_EQY_ENDING_PERIOD","1993-06-18","2026-05-02","Per=Y","Days=T","Dir=V")</f>
        <v>0</v>
      </c>
      <c r="S2">
        <f>BDH("RANI US Equity","BS_ACCT_NOTE_RCV","1993-06-18","2026-05-02","Per=Y","Days=T","Dir=V")</f>
        <v>0</v>
      </c>
      <c r="U2">
        <f>BDH("RANI US Equity","BS_INVENTORIES","1993-06-18","2026-05-02","Per=Y","Days=T","Dir=V")</f>
        <v>0</v>
      </c>
      <c r="W2">
        <f>BDH("RANI US Equity","WORKING_CAPITAL","1993-06-18","2026-05-02","Per=Y","Days=T","Dir=V")</f>
        <v>0</v>
      </c>
      <c r="Y2">
        <f>BDH("RANI US Equity","SALES_REV_TURN","1993-06-18","2026-05-02","Per=Y","Days=T","Dir=V")</f>
        <v>0</v>
      </c>
      <c r="AA2">
        <f>BDH("RANI US Equity","EBIT","1993-06-18","2026-05-02","Per=Y","Days=T","Dir=V")</f>
        <v>0</v>
      </c>
      <c r="AC2">
        <f>BDH("RANI US Equity","EBITDA","1993-06-18","2026-05-02","Per=Y","Days=T","Dir=V")</f>
        <v>0</v>
      </c>
      <c r="AE2">
        <f>BDH("RANI US Equity","NET_INCOME","1993-06-18","2026-05-02","Per=Y","Days=T","Dir=V")</f>
        <v>0</v>
      </c>
      <c r="AG2">
        <f>BDH("RANI US Equity","IS_INT_EXPENSE","1993-06-18","2026-05-02","Per=Y","Days=T","Dir=V")</f>
        <v>0</v>
      </c>
      <c r="AI2">
        <f>BDH("RANI US Equity","IS_DEPR_EXP","1993-06-18","2026-05-02","Per=Y","Days=T","Dir=V")</f>
        <v>0</v>
      </c>
      <c r="AK2">
        <f>BDH("RANI US Equity","CF_CASH_FROM_OPER","1993-06-18","2026-05-02","Per=Y","Days=T","Dir=V")</f>
        <v>0</v>
      </c>
      <c r="AM2">
        <f>BDH("RANI US Equity","CAPITAL_EXPEND","1993-06-18","2026-05-02","Per=Y","Days=T","Dir=V")</f>
        <v>0</v>
      </c>
      <c r="AO2">
        <f>BDH("RANI US Equity","CF_FREE_CASH_FLOW","1993-06-18","2026-05-02","Per=Y","Days=T","Dir=V")</f>
        <v>0</v>
      </c>
      <c r="AQ2">
        <f>BDH("RANI US Equity","PX_LAST","1993-06-18","2026-05-02","Per=M","Days=T","Dir=V")</f>
        <v>0</v>
      </c>
      <c r="AS2">
        <f>BDH("RANI US Equity","CUR_MKT_CAP","1993-06-18","2026-05-02","Per=M","Days=T","Dir=V")</f>
        <v>0</v>
      </c>
      <c r="AU2">
        <f>BDH("RANI US Equity","EQY_SH_OUT","1993-06-18","2026-05-02","Per=M","Days=T","Dir=V")</f>
        <v>0</v>
      </c>
      <c r="AW2">
        <f>BDH("RANI US Equity","PX_VOLUME","1993-06-18","2026-05-02","Per=M","Days=T","Dir=V")</f>
        <v>0</v>
      </c>
      <c r="AY2">
        <f>BDH("RANI US Equity","TURNOVER","1993-06-18","2026-05-02","Per=M","Days=T","Dir=V")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BDH("RAPP US Equity","BS_TOT_ASSET","1993-06-18","2026-05-02","Per=Y","Days=T","Dir=V")</f>
        <v>0</v>
      </c>
      <c r="C2">
        <f>BDH("RAPP US Equity","BS_TOT_LIAB2","1993-06-18","2026-05-02","Per=Y","Days=T","Dir=V")</f>
        <v>0</v>
      </c>
      <c r="E2">
        <f>BDH("RAPP US Equity","SHORT_AND_LONG_TERM_DEBT","1993-06-18","2026-05-02","Per=Y","Days=T","Dir=V")</f>
        <v>0</v>
      </c>
      <c r="G2">
        <f>BDH("RAPP US Equity","BS_ST_BORROW","1993-06-18","2026-05-02","Per=Y","Days=T","Dir=V")</f>
        <v>0</v>
      </c>
      <c r="I2">
        <f>BDH("RAPP US Equity","BS_LT_BORROW","1993-06-18","2026-05-02","Per=Y","Days=T","Dir=V")</f>
        <v>0</v>
      </c>
      <c r="K2">
        <f>BDH("RAPP US Equity","BS_CASH_NEAR_CASH_ITEM","1993-06-18","2026-05-02","Per=Y","Days=T","Dir=V")</f>
        <v>0</v>
      </c>
      <c r="M2">
        <f>BDH("RAPP US Equity","BS_CUR_ASSET_REPORT","1993-06-18","2026-05-02","Per=Y","Days=T","Dir=V")</f>
        <v>0</v>
      </c>
      <c r="O2">
        <f>BDH("RAPP US Equity","BS_CUR_LIAB","1993-06-18","2026-05-02","Per=Y","Days=T","Dir=V")</f>
        <v>0</v>
      </c>
      <c r="Q2">
        <f>BDH("RAPP US Equity","BS_SHAREHOLDER_EQY_ENDING_PERIOD","1993-06-18","2026-05-02","Per=Y","Days=T","Dir=V")</f>
        <v>0</v>
      </c>
      <c r="S2">
        <f>BDH("RAPP US Equity","BS_ACCT_NOTE_RCV","1993-06-18","2026-05-02","Per=Y","Days=T","Dir=V")</f>
        <v>0</v>
      </c>
      <c r="U2">
        <f>BDH("RAPP US Equity","BS_INVENTORIES","1993-06-18","2026-05-02","Per=Y","Days=T","Dir=V")</f>
        <v>0</v>
      </c>
      <c r="W2">
        <f>BDH("RAPP US Equity","WORKING_CAPITAL","1993-06-18","2026-05-02","Per=Y","Days=T","Dir=V")</f>
        <v>0</v>
      </c>
      <c r="Y2">
        <f>BDH("RAPP US Equity","SALES_REV_TURN","1993-06-18","2026-05-02","Per=Y","Days=T","Dir=V")</f>
        <v>0</v>
      </c>
      <c r="AA2">
        <f>BDH("RAPP US Equity","EBIT","1993-06-18","2026-05-02","Per=Y","Days=T","Dir=V")</f>
        <v>0</v>
      </c>
      <c r="AC2">
        <f>BDH("RAPP US Equity","EBITDA","1993-06-18","2026-05-02","Per=Y","Days=T","Dir=V")</f>
        <v>0</v>
      </c>
      <c r="AE2">
        <f>BDH("RAPP US Equity","NET_INCOME","1993-06-18","2026-05-02","Per=Y","Days=T","Dir=V")</f>
        <v>0</v>
      </c>
      <c r="AG2">
        <f>BDH("RAPP US Equity","IS_INT_EXPENSE","1993-06-18","2026-05-02","Per=Y","Days=T","Dir=V")</f>
        <v>0</v>
      </c>
      <c r="AI2">
        <f>BDH("RAPP US Equity","IS_DEPR_EXP","1993-06-18","2026-05-02","Per=Y","Days=T","Dir=V")</f>
        <v>0</v>
      </c>
      <c r="AK2">
        <f>BDH("RAPP US Equity","CF_CASH_FROM_OPER","1993-06-18","2026-05-02","Per=Y","Days=T","Dir=V")</f>
        <v>0</v>
      </c>
      <c r="AM2">
        <f>BDH("RAPP US Equity","CAPITAL_EXPEND","1993-06-18","2026-05-02","Per=Y","Days=T","Dir=V")</f>
        <v>0</v>
      </c>
      <c r="AO2">
        <f>BDH("RAPP US Equity","CF_FREE_CASH_FLOW","1993-06-18","2026-05-02","Per=Y","Days=T","Dir=V")</f>
        <v>0</v>
      </c>
      <c r="AQ2">
        <f>BDH("RAPP US Equity","PX_LAST","1993-06-18","2026-05-02","Per=M","Days=T","Dir=V")</f>
        <v>0</v>
      </c>
      <c r="AS2">
        <f>BDH("RAPP US Equity","CUR_MKT_CAP","1993-06-18","2026-05-02","Per=M","Days=T","Dir=V")</f>
        <v>0</v>
      </c>
      <c r="AU2">
        <f>BDH("RAPP US Equity","EQY_SH_OUT","1993-06-18","2026-05-02","Per=M","Days=T","Dir=V")</f>
        <v>0</v>
      </c>
      <c r="AW2">
        <f>BDH("RAPP US Equity","PX_VOLUME","1993-06-18","2026-05-02","Per=M","Days=T","Dir=V")</f>
        <v>0</v>
      </c>
      <c r="AY2">
        <f>BDH("RAPP US Equity","TURNOVER","1993-06-18","2026-05-02","Per=M","Days=T","Dir=V")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BDH("RARE US Equity","BS_TOT_ASSET","1993-06-18","2026-05-02","Per=Y","Days=T","Dir=V")</f>
        <v>0</v>
      </c>
      <c r="C2">
        <f>BDH("RARE US Equity","BS_TOT_LIAB2","1993-06-18","2026-05-02","Per=Y","Days=T","Dir=V")</f>
        <v>0</v>
      </c>
      <c r="E2">
        <f>BDH("RARE US Equity","SHORT_AND_LONG_TERM_DEBT","1993-06-18","2026-05-02","Per=Y","Days=T","Dir=V")</f>
        <v>0</v>
      </c>
      <c r="G2">
        <f>BDH("RARE US Equity","BS_ST_BORROW","1993-06-18","2026-05-02","Per=Y","Days=T","Dir=V")</f>
        <v>0</v>
      </c>
      <c r="I2">
        <f>BDH("RARE US Equity","BS_LT_BORROW","1993-06-18","2026-05-02","Per=Y","Days=T","Dir=V")</f>
        <v>0</v>
      </c>
      <c r="K2">
        <f>BDH("RARE US Equity","BS_CASH_NEAR_CASH_ITEM","1993-06-18","2026-05-02","Per=Y","Days=T","Dir=V")</f>
        <v>0</v>
      </c>
      <c r="M2">
        <f>BDH("RARE US Equity","BS_CUR_ASSET_REPORT","1993-06-18","2026-05-02","Per=Y","Days=T","Dir=V")</f>
        <v>0</v>
      </c>
      <c r="O2">
        <f>BDH("RARE US Equity","BS_CUR_LIAB","1993-06-18","2026-05-02","Per=Y","Days=T","Dir=V")</f>
        <v>0</v>
      </c>
      <c r="Q2">
        <f>BDH("RARE US Equity","BS_SHAREHOLDER_EQY_ENDING_PERIOD","1993-06-18","2026-05-02","Per=Y","Days=T","Dir=V")</f>
        <v>0</v>
      </c>
      <c r="S2">
        <f>BDH("RARE US Equity","BS_ACCT_NOTE_RCV","1993-06-18","2026-05-02","Per=Y","Days=T","Dir=V")</f>
        <v>0</v>
      </c>
      <c r="U2">
        <f>BDH("RARE US Equity","BS_INVENTORIES","1993-06-18","2026-05-02","Per=Y","Days=T","Dir=V")</f>
        <v>0</v>
      </c>
      <c r="W2">
        <f>BDH("RARE US Equity","WORKING_CAPITAL","1993-06-18","2026-05-02","Per=Y","Days=T","Dir=V")</f>
        <v>0</v>
      </c>
      <c r="Y2">
        <f>BDH("RARE US Equity","SALES_REV_TURN","1993-06-18","2026-05-02","Per=Y","Days=T","Dir=V")</f>
        <v>0</v>
      </c>
      <c r="AA2">
        <f>BDH("RARE US Equity","EBIT","1993-06-18","2026-05-02","Per=Y","Days=T","Dir=V")</f>
        <v>0</v>
      </c>
      <c r="AC2">
        <f>BDH("RARE US Equity","EBITDA","1993-06-18","2026-05-02","Per=Y","Days=T","Dir=V")</f>
        <v>0</v>
      </c>
      <c r="AE2">
        <f>BDH("RARE US Equity","NET_INCOME","1993-06-18","2026-05-02","Per=Y","Days=T","Dir=V")</f>
        <v>0</v>
      </c>
      <c r="AG2">
        <f>BDH("RARE US Equity","IS_INT_EXPENSE","1993-06-18","2026-05-02","Per=Y","Days=T","Dir=V")</f>
        <v>0</v>
      </c>
      <c r="AI2">
        <f>BDH("RARE US Equity","IS_DEPR_EXP","1993-06-18","2026-05-02","Per=Y","Days=T","Dir=V")</f>
        <v>0</v>
      </c>
      <c r="AK2">
        <f>BDH("RARE US Equity","CF_CASH_FROM_OPER","1993-06-18","2026-05-02","Per=Y","Days=T","Dir=V")</f>
        <v>0</v>
      </c>
      <c r="AM2">
        <f>BDH("RARE US Equity","CAPITAL_EXPEND","1993-06-18","2026-05-02","Per=Y","Days=T","Dir=V")</f>
        <v>0</v>
      </c>
      <c r="AO2">
        <f>BDH("RARE US Equity","CF_FREE_CASH_FLOW","1993-06-18","2026-05-02","Per=Y","Days=T","Dir=V")</f>
        <v>0</v>
      </c>
      <c r="AQ2">
        <f>BDH("RARE US Equity","PX_LAST","1993-06-18","2026-05-02","Per=M","Days=T","Dir=V")</f>
        <v>0</v>
      </c>
      <c r="AS2">
        <f>BDH("RARE US Equity","CUR_MKT_CAP","1993-06-18","2026-05-02","Per=M","Days=T","Dir=V")</f>
        <v>0</v>
      </c>
      <c r="AU2">
        <f>BDH("RARE US Equity","EQY_SH_OUT","1993-06-18","2026-05-02","Per=M","Days=T","Dir=V")</f>
        <v>0</v>
      </c>
      <c r="AW2">
        <f>BDH("RARE US Equity","PX_VOLUME","1993-06-18","2026-05-02","Per=M","Days=T","Dir=V")</f>
        <v>0</v>
      </c>
      <c r="AY2">
        <f>BDH("RARE US Equity","TURNOVER","1993-06-18","2026-05-02","Per=M","Days=T","Dir=V")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BDH("RAVE US Equity","BS_TOT_ASSET","1993-06-18","2026-05-02","Per=Y","Days=T","Dir=V")</f>
        <v>0</v>
      </c>
      <c r="C2">
        <f>BDH("RAVE US Equity","BS_TOT_LIAB2","1993-06-18","2026-05-02","Per=Y","Days=T","Dir=V")</f>
        <v>0</v>
      </c>
      <c r="E2">
        <f>BDH("RAVE US Equity","SHORT_AND_LONG_TERM_DEBT","1993-06-18","2026-05-02","Per=Y","Days=T","Dir=V")</f>
        <v>0</v>
      </c>
      <c r="G2">
        <f>BDH("RAVE US Equity","BS_ST_BORROW","1993-06-18","2026-05-02","Per=Y","Days=T","Dir=V")</f>
        <v>0</v>
      </c>
      <c r="I2">
        <f>BDH("RAVE US Equity","BS_LT_BORROW","1993-06-18","2026-05-02","Per=Y","Days=T","Dir=V")</f>
        <v>0</v>
      </c>
      <c r="K2">
        <f>BDH("RAVE US Equity","BS_CASH_NEAR_CASH_ITEM","1993-06-18","2026-05-02","Per=Y","Days=T","Dir=V")</f>
        <v>0</v>
      </c>
      <c r="M2">
        <f>BDH("RAVE US Equity","BS_CUR_ASSET_REPORT","1993-06-18","2026-05-02","Per=Y","Days=T","Dir=V")</f>
        <v>0</v>
      </c>
      <c r="O2">
        <f>BDH("RAVE US Equity","BS_CUR_LIAB","1993-06-18","2026-05-02","Per=Y","Days=T","Dir=V")</f>
        <v>0</v>
      </c>
      <c r="Q2">
        <f>BDH("RAVE US Equity","BS_SHAREHOLDER_EQY_ENDING_PERIOD","1993-06-18","2026-05-02","Per=Y","Days=T","Dir=V")</f>
        <v>0</v>
      </c>
      <c r="S2">
        <f>BDH("RAVE US Equity","BS_ACCT_NOTE_RCV","1993-06-18","2026-05-02","Per=Y","Days=T","Dir=V")</f>
        <v>0</v>
      </c>
      <c r="U2">
        <f>BDH("RAVE US Equity","BS_INVENTORIES","1993-06-18","2026-05-02","Per=Y","Days=T","Dir=V")</f>
        <v>0</v>
      </c>
      <c r="W2">
        <f>BDH("RAVE US Equity","WORKING_CAPITAL","1993-06-18","2026-05-02","Per=Y","Days=T","Dir=V")</f>
        <v>0</v>
      </c>
      <c r="Y2">
        <f>BDH("RAVE US Equity","SALES_REV_TURN","1993-06-18","2026-05-02","Per=Y","Days=T","Dir=V")</f>
        <v>0</v>
      </c>
      <c r="AA2">
        <f>BDH("RAVE US Equity","EBIT","1993-06-18","2026-05-02","Per=Y","Days=T","Dir=V")</f>
        <v>0</v>
      </c>
      <c r="AC2">
        <f>BDH("RAVE US Equity","EBITDA","1993-06-18","2026-05-02","Per=Y","Days=T","Dir=V")</f>
        <v>0</v>
      </c>
      <c r="AE2">
        <f>BDH("RAVE US Equity","NET_INCOME","1993-06-18","2026-05-02","Per=Y","Days=T","Dir=V")</f>
        <v>0</v>
      </c>
      <c r="AG2">
        <f>BDH("RAVE US Equity","IS_INT_EXPENSE","1993-06-18","2026-05-02","Per=Y","Days=T","Dir=V")</f>
        <v>0</v>
      </c>
      <c r="AI2">
        <f>BDH("RAVE US Equity","IS_DEPR_EXP","1993-06-18","2026-05-02","Per=Y","Days=T","Dir=V")</f>
        <v>0</v>
      </c>
      <c r="AK2">
        <f>BDH("RAVE US Equity","CF_CASH_FROM_OPER","1993-06-18","2026-05-02","Per=Y","Days=T","Dir=V")</f>
        <v>0</v>
      </c>
      <c r="AM2">
        <f>BDH("RAVE US Equity","CAPITAL_EXPEND","1993-06-18","2026-05-02","Per=Y","Days=T","Dir=V")</f>
        <v>0</v>
      </c>
      <c r="AO2">
        <f>BDH("RAVE US Equity","CF_FREE_CASH_FLOW","1993-06-18","2026-05-02","Per=Y","Days=T","Dir=V")</f>
        <v>0</v>
      </c>
      <c r="AQ2">
        <f>BDH("RAVE US Equity","PX_LAST","1993-06-18","2026-05-02","Per=M","Days=T","Dir=V")</f>
        <v>0</v>
      </c>
      <c r="AS2">
        <f>BDH("RAVE US Equity","CUR_MKT_CAP","1993-06-18","2026-05-02","Per=M","Days=T","Dir=V")</f>
        <v>0</v>
      </c>
      <c r="AU2">
        <f>BDH("RAVE US Equity","EQY_SH_OUT","1993-06-18","2026-05-02","Per=M","Days=T","Dir=V")</f>
        <v>0</v>
      </c>
      <c r="AW2">
        <f>BDH("RAVE US Equity","PX_VOLUME","1993-06-18","2026-05-02","Per=M","Days=T","Dir=V")</f>
        <v>0</v>
      </c>
      <c r="AY2">
        <f>BDH("RAVE US Equity","TURNOVER","1993-06-18","2026-05-02","Per=M","Days=T","Dir=V")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BDH("RBBN US Equity","BS_TOT_ASSET","1993-06-18","2026-05-02","Per=Y","Days=T","Dir=V")</f>
        <v>0</v>
      </c>
      <c r="C2">
        <f>BDH("RBBN US Equity","BS_TOT_LIAB2","1993-06-18","2026-05-02","Per=Y","Days=T","Dir=V")</f>
        <v>0</v>
      </c>
      <c r="E2">
        <f>BDH("RBBN US Equity","SHORT_AND_LONG_TERM_DEBT","1993-06-18","2026-05-02","Per=Y","Days=T","Dir=V")</f>
        <v>0</v>
      </c>
      <c r="G2">
        <f>BDH("RBBN US Equity","BS_ST_BORROW","1993-06-18","2026-05-02","Per=Y","Days=T","Dir=V")</f>
        <v>0</v>
      </c>
      <c r="I2">
        <f>BDH("RBBN US Equity","BS_LT_BORROW","1993-06-18","2026-05-02","Per=Y","Days=T","Dir=V")</f>
        <v>0</v>
      </c>
      <c r="K2">
        <f>BDH("RBBN US Equity","BS_CASH_NEAR_CASH_ITEM","1993-06-18","2026-05-02","Per=Y","Days=T","Dir=V")</f>
        <v>0</v>
      </c>
      <c r="M2">
        <f>BDH("RBBN US Equity","BS_CUR_ASSET_REPORT","1993-06-18","2026-05-02","Per=Y","Days=T","Dir=V")</f>
        <v>0</v>
      </c>
      <c r="O2">
        <f>BDH("RBBN US Equity","BS_CUR_LIAB","1993-06-18","2026-05-02","Per=Y","Days=T","Dir=V")</f>
        <v>0</v>
      </c>
      <c r="Q2">
        <f>BDH("RBBN US Equity","BS_SHAREHOLDER_EQY_ENDING_PERIOD","1993-06-18","2026-05-02","Per=Y","Days=T","Dir=V")</f>
        <v>0</v>
      </c>
      <c r="S2">
        <f>BDH("RBBN US Equity","BS_ACCT_NOTE_RCV","1993-06-18","2026-05-02","Per=Y","Days=T","Dir=V")</f>
        <v>0</v>
      </c>
      <c r="U2">
        <f>BDH("RBBN US Equity","BS_INVENTORIES","1993-06-18","2026-05-02","Per=Y","Days=T","Dir=V")</f>
        <v>0</v>
      </c>
      <c r="W2">
        <f>BDH("RBBN US Equity","WORKING_CAPITAL","1993-06-18","2026-05-02","Per=Y","Days=T","Dir=V")</f>
        <v>0</v>
      </c>
      <c r="Y2">
        <f>BDH("RBBN US Equity","SALES_REV_TURN","1993-06-18","2026-05-02","Per=Y","Days=T","Dir=V")</f>
        <v>0</v>
      </c>
      <c r="AA2">
        <f>BDH("RBBN US Equity","EBIT","1993-06-18","2026-05-02","Per=Y","Days=T","Dir=V")</f>
        <v>0</v>
      </c>
      <c r="AC2">
        <f>BDH("RBBN US Equity","EBITDA","1993-06-18","2026-05-02","Per=Y","Days=T","Dir=V")</f>
        <v>0</v>
      </c>
      <c r="AE2">
        <f>BDH("RBBN US Equity","NET_INCOME","1993-06-18","2026-05-02","Per=Y","Days=T","Dir=V")</f>
        <v>0</v>
      </c>
      <c r="AG2">
        <f>BDH("RBBN US Equity","IS_INT_EXPENSE","1993-06-18","2026-05-02","Per=Y","Days=T","Dir=V")</f>
        <v>0</v>
      </c>
      <c r="AI2">
        <f>BDH("RBBN US Equity","IS_DEPR_EXP","1993-06-18","2026-05-02","Per=Y","Days=T","Dir=V")</f>
        <v>0</v>
      </c>
      <c r="AK2">
        <f>BDH("RBBN US Equity","CF_CASH_FROM_OPER","1993-06-18","2026-05-02","Per=Y","Days=T","Dir=V")</f>
        <v>0</v>
      </c>
      <c r="AM2">
        <f>BDH("RBBN US Equity","CAPITAL_EXPEND","1993-06-18","2026-05-02","Per=Y","Days=T","Dir=V")</f>
        <v>0</v>
      </c>
      <c r="AO2">
        <f>BDH("RBBN US Equity","CF_FREE_CASH_FLOW","1993-06-18","2026-05-02","Per=Y","Days=T","Dir=V")</f>
        <v>0</v>
      </c>
      <c r="AQ2">
        <f>BDH("RBBN US Equity","PX_LAST","1993-06-18","2026-05-02","Per=M","Days=T","Dir=V")</f>
        <v>0</v>
      </c>
      <c r="AS2">
        <f>BDH("RBBN US Equity","CUR_MKT_CAP","1993-06-18","2026-05-02","Per=M","Days=T","Dir=V")</f>
        <v>0</v>
      </c>
      <c r="AU2">
        <f>BDH("RBBN US Equity","EQY_SH_OUT","1993-06-18","2026-05-02","Per=M","Days=T","Dir=V")</f>
        <v>0</v>
      </c>
      <c r="AW2">
        <f>BDH("RBBN US Equity","PX_VOLUME","1993-06-18","2026-05-02","Per=M","Days=T","Dir=V")</f>
        <v>0</v>
      </c>
      <c r="AY2">
        <f>BDH("RBBN US Equity","TURNOVER","1993-06-18","2026-05-02","Per=M","Days=T","Dir=V")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BDH("RBC US Equity","BS_TOT_ASSET","1993-06-18","2026-05-02","Per=Y","Days=T","Dir=V")</f>
        <v>0</v>
      </c>
      <c r="C2">
        <f>BDH("RBC US Equity","BS_TOT_LIAB2","1993-06-18","2026-05-02","Per=Y","Days=T","Dir=V")</f>
        <v>0</v>
      </c>
      <c r="E2">
        <f>BDH("RBC US Equity","SHORT_AND_LONG_TERM_DEBT","1993-06-18","2026-05-02","Per=Y","Days=T","Dir=V")</f>
        <v>0</v>
      </c>
      <c r="G2">
        <f>BDH("RBC US Equity","BS_ST_BORROW","1993-06-18","2026-05-02","Per=Y","Days=T","Dir=V")</f>
        <v>0</v>
      </c>
      <c r="I2">
        <f>BDH("RBC US Equity","BS_LT_BORROW","1993-06-18","2026-05-02","Per=Y","Days=T","Dir=V")</f>
        <v>0</v>
      </c>
      <c r="K2">
        <f>BDH("RBC US Equity","BS_CASH_NEAR_CASH_ITEM","1993-06-18","2026-05-02","Per=Y","Days=T","Dir=V")</f>
        <v>0</v>
      </c>
      <c r="M2">
        <f>BDH("RBC US Equity","BS_CUR_ASSET_REPORT","1993-06-18","2026-05-02","Per=Y","Days=T","Dir=V")</f>
        <v>0</v>
      </c>
      <c r="O2">
        <f>BDH("RBC US Equity","BS_CUR_LIAB","1993-06-18","2026-05-02","Per=Y","Days=T","Dir=V")</f>
        <v>0</v>
      </c>
      <c r="Q2">
        <f>BDH("RBC US Equity","BS_SHAREHOLDER_EQY_ENDING_PERIOD","1993-06-18","2026-05-02","Per=Y","Days=T","Dir=V")</f>
        <v>0</v>
      </c>
      <c r="S2">
        <f>BDH("RBC US Equity","BS_ACCT_NOTE_RCV","1993-06-18","2026-05-02","Per=Y","Days=T","Dir=V")</f>
        <v>0</v>
      </c>
      <c r="U2">
        <f>BDH("RBC US Equity","BS_INVENTORIES","1993-06-18","2026-05-02","Per=Y","Days=T","Dir=V")</f>
        <v>0</v>
      </c>
      <c r="W2">
        <f>BDH("RBC US Equity","WORKING_CAPITAL","1993-06-18","2026-05-02","Per=Y","Days=T","Dir=V")</f>
        <v>0</v>
      </c>
      <c r="Y2">
        <f>BDH("RBC US Equity","SALES_REV_TURN","1993-06-18","2026-05-02","Per=Y","Days=T","Dir=V")</f>
        <v>0</v>
      </c>
      <c r="AA2">
        <f>BDH("RBC US Equity","EBIT","1993-06-18","2026-05-02","Per=Y","Days=T","Dir=V")</f>
        <v>0</v>
      </c>
      <c r="AC2">
        <f>BDH("RBC US Equity","EBITDA","1993-06-18","2026-05-02","Per=Y","Days=T","Dir=V")</f>
        <v>0</v>
      </c>
      <c r="AE2">
        <f>BDH("RBC US Equity","NET_INCOME","1993-06-18","2026-05-02","Per=Y","Days=T","Dir=V")</f>
        <v>0</v>
      </c>
      <c r="AG2">
        <f>BDH("RBC US Equity","IS_INT_EXPENSE","1993-06-18","2026-05-02","Per=Y","Days=T","Dir=V")</f>
        <v>0</v>
      </c>
      <c r="AI2">
        <f>BDH("RBC US Equity","IS_DEPR_EXP","1993-06-18","2026-05-02","Per=Y","Days=T","Dir=V")</f>
        <v>0</v>
      </c>
      <c r="AK2">
        <f>BDH("RBC US Equity","CF_CASH_FROM_OPER","1993-06-18","2026-05-02","Per=Y","Days=T","Dir=V")</f>
        <v>0</v>
      </c>
      <c r="AM2">
        <f>BDH("RBC US Equity","CAPITAL_EXPEND","1993-06-18","2026-05-02","Per=Y","Days=T","Dir=V")</f>
        <v>0</v>
      </c>
      <c r="AO2">
        <f>BDH("RBC US Equity","CF_FREE_CASH_FLOW","1993-06-18","2026-05-02","Per=Y","Days=T","Dir=V")</f>
        <v>0</v>
      </c>
      <c r="AQ2">
        <f>BDH("RBC US Equity","PX_LAST","1993-06-18","2026-05-02","Per=M","Days=T","Dir=V")</f>
        <v>0</v>
      </c>
      <c r="AS2">
        <f>BDH("RBC US Equity","CUR_MKT_CAP","1993-06-18","2026-05-02","Per=M","Days=T","Dir=V")</f>
        <v>0</v>
      </c>
      <c r="AU2">
        <f>BDH("RBC US Equity","EQY_SH_OUT","1993-06-18","2026-05-02","Per=M","Days=T","Dir=V")</f>
        <v>0</v>
      </c>
      <c r="AW2">
        <f>BDH("RBC US Equity","PX_VOLUME","1993-06-18","2026-05-02","Per=M","Days=T","Dir=V")</f>
        <v>0</v>
      </c>
      <c r="AY2">
        <f>BDH("RBC US Equity","TURNOVER","1993-06-18","2026-05-02","Per=M","Days=T","Dir=V")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BDH("RBLX US Equity","BS_TOT_ASSET","1993-06-18","2026-05-02","Per=Y","Days=T","Dir=V")</f>
        <v>0</v>
      </c>
      <c r="C2">
        <f>BDH("RBLX US Equity","BS_TOT_LIAB2","1993-06-18","2026-05-02","Per=Y","Days=T","Dir=V")</f>
        <v>0</v>
      </c>
      <c r="E2">
        <f>BDH("RBLX US Equity","SHORT_AND_LONG_TERM_DEBT","1993-06-18","2026-05-02","Per=Y","Days=T","Dir=V")</f>
        <v>0</v>
      </c>
      <c r="G2">
        <f>BDH("RBLX US Equity","BS_ST_BORROW","1993-06-18","2026-05-02","Per=Y","Days=T","Dir=V")</f>
        <v>0</v>
      </c>
      <c r="I2">
        <f>BDH("RBLX US Equity","BS_LT_BORROW","1993-06-18","2026-05-02","Per=Y","Days=T","Dir=V")</f>
        <v>0</v>
      </c>
      <c r="K2">
        <f>BDH("RBLX US Equity","BS_CASH_NEAR_CASH_ITEM","1993-06-18","2026-05-02","Per=Y","Days=T","Dir=V")</f>
        <v>0</v>
      </c>
      <c r="M2">
        <f>BDH("RBLX US Equity","BS_CUR_ASSET_REPORT","1993-06-18","2026-05-02","Per=Y","Days=T","Dir=V")</f>
        <v>0</v>
      </c>
      <c r="O2">
        <f>BDH("RBLX US Equity","BS_CUR_LIAB","1993-06-18","2026-05-02","Per=Y","Days=T","Dir=V")</f>
        <v>0</v>
      </c>
      <c r="Q2">
        <f>BDH("RBLX US Equity","BS_SHAREHOLDER_EQY_ENDING_PERIOD","1993-06-18","2026-05-02","Per=Y","Days=T","Dir=V")</f>
        <v>0</v>
      </c>
      <c r="S2">
        <f>BDH("RBLX US Equity","BS_ACCT_NOTE_RCV","1993-06-18","2026-05-02","Per=Y","Days=T","Dir=V")</f>
        <v>0</v>
      </c>
      <c r="U2">
        <f>BDH("RBLX US Equity","BS_INVENTORIES","1993-06-18","2026-05-02","Per=Y","Days=T","Dir=V")</f>
        <v>0</v>
      </c>
      <c r="W2">
        <f>BDH("RBLX US Equity","WORKING_CAPITAL","1993-06-18","2026-05-02","Per=Y","Days=T","Dir=V")</f>
        <v>0</v>
      </c>
      <c r="Y2">
        <f>BDH("RBLX US Equity","SALES_REV_TURN","1993-06-18","2026-05-02","Per=Y","Days=T","Dir=V")</f>
        <v>0</v>
      </c>
      <c r="AA2">
        <f>BDH("RBLX US Equity","EBIT","1993-06-18","2026-05-02","Per=Y","Days=T","Dir=V")</f>
        <v>0</v>
      </c>
      <c r="AC2">
        <f>BDH("RBLX US Equity","EBITDA","1993-06-18","2026-05-02","Per=Y","Days=T","Dir=V")</f>
        <v>0</v>
      </c>
      <c r="AE2">
        <f>BDH("RBLX US Equity","NET_INCOME","1993-06-18","2026-05-02","Per=Y","Days=T","Dir=V")</f>
        <v>0</v>
      </c>
      <c r="AG2">
        <f>BDH("RBLX US Equity","IS_INT_EXPENSE","1993-06-18","2026-05-02","Per=Y","Days=T","Dir=V")</f>
        <v>0</v>
      </c>
      <c r="AI2">
        <f>BDH("RBLX US Equity","IS_DEPR_EXP","1993-06-18","2026-05-02","Per=Y","Days=T","Dir=V")</f>
        <v>0</v>
      </c>
      <c r="AK2">
        <f>BDH("RBLX US Equity","CF_CASH_FROM_OPER","1993-06-18","2026-05-02","Per=Y","Days=T","Dir=V")</f>
        <v>0</v>
      </c>
      <c r="AM2">
        <f>BDH("RBLX US Equity","CAPITAL_EXPEND","1993-06-18","2026-05-02","Per=Y","Days=T","Dir=V")</f>
        <v>0</v>
      </c>
      <c r="AO2">
        <f>BDH("RBLX US Equity","CF_FREE_CASH_FLOW","1993-06-18","2026-05-02","Per=Y","Days=T","Dir=V")</f>
        <v>0</v>
      </c>
      <c r="AQ2">
        <f>BDH("RBLX US Equity","PX_LAST","1993-06-18","2026-05-02","Per=M","Days=T","Dir=V")</f>
        <v>0</v>
      </c>
      <c r="AS2">
        <f>BDH("RBLX US Equity","CUR_MKT_CAP","1993-06-18","2026-05-02","Per=M","Days=T","Dir=V")</f>
        <v>0</v>
      </c>
      <c r="AU2">
        <f>BDH("RBLX US Equity","EQY_SH_OUT","1993-06-18","2026-05-02","Per=M","Days=T","Dir=V")</f>
        <v>0</v>
      </c>
      <c r="AW2">
        <f>BDH("RBLX US Equity","PX_VOLUME","1993-06-18","2026-05-02","Per=M","Days=T","Dir=V")</f>
        <v>0</v>
      </c>
      <c r="AY2">
        <f>BDH("RBLX US Equity","TURNOVER","1993-06-18","2026-05-02","Per=M","Days=T","Dir=V")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BDH("RBRK US Equity","BS_TOT_ASSET","1993-06-18","2026-05-02","Per=Y","Days=T","Dir=V")</f>
        <v>0</v>
      </c>
      <c r="C2">
        <f>BDH("RBRK US Equity","BS_TOT_LIAB2","1993-06-18","2026-05-02","Per=Y","Days=T","Dir=V")</f>
        <v>0</v>
      </c>
      <c r="E2">
        <f>BDH("RBRK US Equity","SHORT_AND_LONG_TERM_DEBT","1993-06-18","2026-05-02","Per=Y","Days=T","Dir=V")</f>
        <v>0</v>
      </c>
      <c r="G2">
        <f>BDH("RBRK US Equity","BS_ST_BORROW","1993-06-18","2026-05-02","Per=Y","Days=T","Dir=V")</f>
        <v>0</v>
      </c>
      <c r="I2">
        <f>BDH("RBRK US Equity","BS_LT_BORROW","1993-06-18","2026-05-02","Per=Y","Days=T","Dir=V")</f>
        <v>0</v>
      </c>
      <c r="K2">
        <f>BDH("RBRK US Equity","BS_CASH_NEAR_CASH_ITEM","1993-06-18","2026-05-02","Per=Y","Days=T","Dir=V")</f>
        <v>0</v>
      </c>
      <c r="M2">
        <f>BDH("RBRK US Equity","BS_CUR_ASSET_REPORT","1993-06-18","2026-05-02","Per=Y","Days=T","Dir=V")</f>
        <v>0</v>
      </c>
      <c r="O2">
        <f>BDH("RBRK US Equity","BS_CUR_LIAB","1993-06-18","2026-05-02","Per=Y","Days=T","Dir=V")</f>
        <v>0</v>
      </c>
      <c r="Q2">
        <f>BDH("RBRK US Equity","BS_SHAREHOLDER_EQY_ENDING_PERIOD","1993-06-18","2026-05-02","Per=Y","Days=T","Dir=V")</f>
        <v>0</v>
      </c>
      <c r="S2">
        <f>BDH("RBRK US Equity","BS_ACCT_NOTE_RCV","1993-06-18","2026-05-02","Per=Y","Days=T","Dir=V")</f>
        <v>0</v>
      </c>
      <c r="U2">
        <f>BDH("RBRK US Equity","BS_INVENTORIES","1993-06-18","2026-05-02","Per=Y","Days=T","Dir=V")</f>
        <v>0</v>
      </c>
      <c r="W2">
        <f>BDH("RBRK US Equity","WORKING_CAPITAL","1993-06-18","2026-05-02","Per=Y","Days=T","Dir=V")</f>
        <v>0</v>
      </c>
      <c r="Y2">
        <f>BDH("RBRK US Equity","SALES_REV_TURN","1993-06-18","2026-05-02","Per=Y","Days=T","Dir=V")</f>
        <v>0</v>
      </c>
      <c r="AA2">
        <f>BDH("RBRK US Equity","EBIT","1993-06-18","2026-05-02","Per=Y","Days=T","Dir=V")</f>
        <v>0</v>
      </c>
      <c r="AC2">
        <f>BDH("RBRK US Equity","EBITDA","1993-06-18","2026-05-02","Per=Y","Days=T","Dir=V")</f>
        <v>0</v>
      </c>
      <c r="AE2">
        <f>BDH("RBRK US Equity","NET_INCOME","1993-06-18","2026-05-02","Per=Y","Days=T","Dir=V")</f>
        <v>0</v>
      </c>
      <c r="AG2">
        <f>BDH("RBRK US Equity","IS_INT_EXPENSE","1993-06-18","2026-05-02","Per=Y","Days=T","Dir=V")</f>
        <v>0</v>
      </c>
      <c r="AI2">
        <f>BDH("RBRK US Equity","IS_DEPR_EXP","1993-06-18","2026-05-02","Per=Y","Days=T","Dir=V")</f>
        <v>0</v>
      </c>
      <c r="AK2">
        <f>BDH("RBRK US Equity","CF_CASH_FROM_OPER","1993-06-18","2026-05-02","Per=Y","Days=T","Dir=V")</f>
        <v>0</v>
      </c>
      <c r="AM2">
        <f>BDH("RBRK US Equity","CAPITAL_EXPEND","1993-06-18","2026-05-02","Per=Y","Days=T","Dir=V")</f>
        <v>0</v>
      </c>
      <c r="AO2">
        <f>BDH("RBRK US Equity","CF_FREE_CASH_FLOW","1993-06-18","2026-05-02","Per=Y","Days=T","Dir=V")</f>
        <v>0</v>
      </c>
      <c r="AQ2">
        <f>BDH("RBRK US Equity","PX_LAST","1993-06-18","2026-05-02","Per=M","Days=T","Dir=V")</f>
        <v>0</v>
      </c>
      <c r="AS2">
        <f>BDH("RBRK US Equity","CUR_MKT_CAP","1993-06-18","2026-05-02","Per=M","Days=T","Dir=V")</f>
        <v>0</v>
      </c>
      <c r="AU2">
        <f>BDH("RBRK US Equity","EQY_SH_OUT","1993-06-18","2026-05-02","Per=M","Days=T","Dir=V")</f>
        <v>0</v>
      </c>
      <c r="AW2">
        <f>BDH("RBRK US Equity","PX_VOLUME","1993-06-18","2026-05-02","Per=M","Days=T","Dir=V")</f>
        <v>0</v>
      </c>
      <c r="AY2">
        <f>BDH("RBRK US Equity","TURNOVER","1993-06-18","2026-05-02","Per=M","Days=T","Dir=V")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BDH("RCAT US Equity","BS_TOT_ASSET","1993-06-18","2026-05-02","Per=Y","Days=T","Dir=V")</f>
        <v>0</v>
      </c>
      <c r="C2">
        <f>BDH("RCAT US Equity","BS_TOT_LIAB2","1993-06-18","2026-05-02","Per=Y","Days=T","Dir=V")</f>
        <v>0</v>
      </c>
      <c r="E2">
        <f>BDH("RCAT US Equity","SHORT_AND_LONG_TERM_DEBT","1993-06-18","2026-05-02","Per=Y","Days=T","Dir=V")</f>
        <v>0</v>
      </c>
      <c r="G2">
        <f>BDH("RCAT US Equity","BS_ST_BORROW","1993-06-18","2026-05-02","Per=Y","Days=T","Dir=V")</f>
        <v>0</v>
      </c>
      <c r="I2">
        <f>BDH("RCAT US Equity","BS_LT_BORROW","1993-06-18","2026-05-02","Per=Y","Days=T","Dir=V")</f>
        <v>0</v>
      </c>
      <c r="K2">
        <f>BDH("RCAT US Equity","BS_CASH_NEAR_CASH_ITEM","1993-06-18","2026-05-02","Per=Y","Days=T","Dir=V")</f>
        <v>0</v>
      </c>
      <c r="M2">
        <f>BDH("RCAT US Equity","BS_CUR_ASSET_REPORT","1993-06-18","2026-05-02","Per=Y","Days=T","Dir=V")</f>
        <v>0</v>
      </c>
      <c r="O2">
        <f>BDH("RCAT US Equity","BS_CUR_LIAB","1993-06-18","2026-05-02","Per=Y","Days=T","Dir=V")</f>
        <v>0</v>
      </c>
      <c r="Q2">
        <f>BDH("RCAT US Equity","BS_SHAREHOLDER_EQY_ENDING_PERIOD","1993-06-18","2026-05-02","Per=Y","Days=T","Dir=V")</f>
        <v>0</v>
      </c>
      <c r="S2">
        <f>BDH("RCAT US Equity","BS_ACCT_NOTE_RCV","1993-06-18","2026-05-02","Per=Y","Days=T","Dir=V")</f>
        <v>0</v>
      </c>
      <c r="U2">
        <f>BDH("RCAT US Equity","BS_INVENTORIES","1993-06-18","2026-05-02","Per=Y","Days=T","Dir=V")</f>
        <v>0</v>
      </c>
      <c r="W2">
        <f>BDH("RCAT US Equity","WORKING_CAPITAL","1993-06-18","2026-05-02","Per=Y","Days=T","Dir=V")</f>
        <v>0</v>
      </c>
      <c r="Y2">
        <f>BDH("RCAT US Equity","SALES_REV_TURN","1993-06-18","2026-05-02","Per=Y","Days=T","Dir=V")</f>
        <v>0</v>
      </c>
      <c r="AA2">
        <f>BDH("RCAT US Equity","EBIT","1993-06-18","2026-05-02","Per=Y","Days=T","Dir=V")</f>
        <v>0</v>
      </c>
      <c r="AC2">
        <f>BDH("RCAT US Equity","EBITDA","1993-06-18","2026-05-02","Per=Y","Days=T","Dir=V")</f>
        <v>0</v>
      </c>
      <c r="AE2">
        <f>BDH("RCAT US Equity","NET_INCOME","1993-06-18","2026-05-02","Per=Y","Days=T","Dir=V")</f>
        <v>0</v>
      </c>
      <c r="AG2">
        <f>BDH("RCAT US Equity","IS_INT_EXPENSE","1993-06-18","2026-05-02","Per=Y","Days=T","Dir=V")</f>
        <v>0</v>
      </c>
      <c r="AI2">
        <f>BDH("RCAT US Equity","IS_DEPR_EXP","1993-06-18","2026-05-02","Per=Y","Days=T","Dir=V")</f>
        <v>0</v>
      </c>
      <c r="AK2">
        <f>BDH("RCAT US Equity","CF_CASH_FROM_OPER","1993-06-18","2026-05-02","Per=Y","Days=T","Dir=V")</f>
        <v>0</v>
      </c>
      <c r="AM2">
        <f>BDH("RCAT US Equity","CAPITAL_EXPEND","1993-06-18","2026-05-02","Per=Y","Days=T","Dir=V")</f>
        <v>0</v>
      </c>
      <c r="AO2">
        <f>BDH("RCAT US Equity","CF_FREE_CASH_FLOW","1993-06-18","2026-05-02","Per=Y","Days=T","Dir=V")</f>
        <v>0</v>
      </c>
      <c r="AQ2">
        <f>BDH("RCAT US Equity","PX_LAST","1993-06-18","2026-05-02","Per=M","Days=T","Dir=V")</f>
        <v>0</v>
      </c>
      <c r="AS2">
        <f>BDH("RCAT US Equity","CUR_MKT_CAP","1993-06-18","2026-05-02","Per=M","Days=T","Dir=V")</f>
        <v>0</v>
      </c>
      <c r="AU2">
        <f>BDH("RCAT US Equity","EQY_SH_OUT","1993-06-18","2026-05-02","Per=M","Days=T","Dir=V")</f>
        <v>0</v>
      </c>
      <c r="AW2">
        <f>BDH("RCAT US Equity","PX_VOLUME","1993-06-18","2026-05-02","Per=M","Days=T","Dir=V")</f>
        <v>0</v>
      </c>
      <c r="AY2">
        <f>BDH("RCAT US Equity","TURNOVER","1993-06-18","2026-05-02","Per=M","Days=T","Dir=V")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BDH("RCEL US Equity","BS_TOT_ASSET","1993-06-18","2026-05-02","Per=Y","Days=T","Dir=V")</f>
        <v>0</v>
      </c>
      <c r="C2">
        <f>BDH("RCEL US Equity","BS_TOT_LIAB2","1993-06-18","2026-05-02","Per=Y","Days=T","Dir=V")</f>
        <v>0</v>
      </c>
      <c r="E2">
        <f>BDH("RCEL US Equity","SHORT_AND_LONG_TERM_DEBT","1993-06-18","2026-05-02","Per=Y","Days=T","Dir=V")</f>
        <v>0</v>
      </c>
      <c r="G2">
        <f>BDH("RCEL US Equity","BS_ST_BORROW","1993-06-18","2026-05-02","Per=Y","Days=T","Dir=V")</f>
        <v>0</v>
      </c>
      <c r="I2">
        <f>BDH("RCEL US Equity","BS_LT_BORROW","1993-06-18","2026-05-02","Per=Y","Days=T","Dir=V")</f>
        <v>0</v>
      </c>
      <c r="K2">
        <f>BDH("RCEL US Equity","BS_CASH_NEAR_CASH_ITEM","1993-06-18","2026-05-02","Per=Y","Days=T","Dir=V")</f>
        <v>0</v>
      </c>
      <c r="M2">
        <f>BDH("RCEL US Equity","BS_CUR_ASSET_REPORT","1993-06-18","2026-05-02","Per=Y","Days=T","Dir=V")</f>
        <v>0</v>
      </c>
      <c r="O2">
        <f>BDH("RCEL US Equity","BS_CUR_LIAB","1993-06-18","2026-05-02","Per=Y","Days=T","Dir=V")</f>
        <v>0</v>
      </c>
      <c r="Q2">
        <f>BDH("RCEL US Equity","BS_SHAREHOLDER_EQY_ENDING_PERIOD","1993-06-18","2026-05-02","Per=Y","Days=T","Dir=V")</f>
        <v>0</v>
      </c>
      <c r="S2">
        <f>BDH("RCEL US Equity","BS_ACCT_NOTE_RCV","1993-06-18","2026-05-02","Per=Y","Days=T","Dir=V")</f>
        <v>0</v>
      </c>
      <c r="U2">
        <f>BDH("RCEL US Equity","BS_INVENTORIES","1993-06-18","2026-05-02","Per=Y","Days=T","Dir=V")</f>
        <v>0</v>
      </c>
      <c r="W2">
        <f>BDH("RCEL US Equity","WORKING_CAPITAL","1993-06-18","2026-05-02","Per=Y","Days=T","Dir=V")</f>
        <v>0</v>
      </c>
      <c r="Y2">
        <f>BDH("RCEL US Equity","SALES_REV_TURN","1993-06-18","2026-05-02","Per=Y","Days=T","Dir=V")</f>
        <v>0</v>
      </c>
      <c r="AA2">
        <f>BDH("RCEL US Equity","EBIT","1993-06-18","2026-05-02","Per=Y","Days=T","Dir=V")</f>
        <v>0</v>
      </c>
      <c r="AC2">
        <f>BDH("RCEL US Equity","EBITDA","1993-06-18","2026-05-02","Per=Y","Days=T","Dir=V")</f>
        <v>0</v>
      </c>
      <c r="AE2">
        <f>BDH("RCEL US Equity","NET_INCOME","1993-06-18","2026-05-02","Per=Y","Days=T","Dir=V")</f>
        <v>0</v>
      </c>
      <c r="AG2">
        <f>BDH("RCEL US Equity","IS_INT_EXPENSE","1993-06-18","2026-05-02","Per=Y","Days=T","Dir=V")</f>
        <v>0</v>
      </c>
      <c r="AI2">
        <f>BDH("RCEL US Equity","IS_DEPR_EXP","1993-06-18","2026-05-02","Per=Y","Days=T","Dir=V")</f>
        <v>0</v>
      </c>
      <c r="AK2">
        <f>BDH("RCEL US Equity","CF_CASH_FROM_OPER","1993-06-18","2026-05-02","Per=Y","Days=T","Dir=V")</f>
        <v>0</v>
      </c>
      <c r="AM2">
        <f>BDH("RCEL US Equity","CAPITAL_EXPEND","1993-06-18","2026-05-02","Per=Y","Days=T","Dir=V")</f>
        <v>0</v>
      </c>
      <c r="AO2">
        <f>BDH("RCEL US Equity","CF_FREE_CASH_FLOW","1993-06-18","2026-05-02","Per=Y","Days=T","Dir=V")</f>
        <v>0</v>
      </c>
      <c r="AQ2">
        <f>BDH("RCEL US Equity","PX_LAST","1993-06-18","2026-05-02","Per=M","Days=T","Dir=V")</f>
        <v>0</v>
      </c>
      <c r="AS2">
        <f>BDH("RCEL US Equity","CUR_MKT_CAP","1993-06-18","2026-05-02","Per=M","Days=T","Dir=V")</f>
        <v>0</v>
      </c>
      <c r="AU2">
        <f>BDH("RCEL US Equity","EQY_SH_OUT","1993-06-18","2026-05-02","Per=M","Days=T","Dir=V")</f>
        <v>0</v>
      </c>
      <c r="AW2">
        <f>BDH("RCEL US Equity","PX_VOLUME","1993-06-18","2026-05-02","Per=M","Days=T","Dir=V")</f>
        <v>0</v>
      </c>
      <c r="AY2">
        <f>BDH("RCEL US Equity","TURNOVER","1993-06-18","2026-05-02","Per=M","Days=T","Dir=V")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BDH("RCKT US Equity","BS_TOT_ASSET","1993-06-18","2026-05-02","Per=Y","Days=T","Dir=V")</f>
        <v>0</v>
      </c>
      <c r="C2">
        <f>BDH("RCKT US Equity","BS_TOT_LIAB2","1993-06-18","2026-05-02","Per=Y","Days=T","Dir=V")</f>
        <v>0</v>
      </c>
      <c r="E2">
        <f>BDH("RCKT US Equity","SHORT_AND_LONG_TERM_DEBT","1993-06-18","2026-05-02","Per=Y","Days=T","Dir=V")</f>
        <v>0</v>
      </c>
      <c r="G2">
        <f>BDH("RCKT US Equity","BS_ST_BORROW","1993-06-18","2026-05-02","Per=Y","Days=T","Dir=V")</f>
        <v>0</v>
      </c>
      <c r="I2">
        <f>BDH("RCKT US Equity","BS_LT_BORROW","1993-06-18","2026-05-02","Per=Y","Days=T","Dir=V")</f>
        <v>0</v>
      </c>
      <c r="K2">
        <f>BDH("RCKT US Equity","BS_CASH_NEAR_CASH_ITEM","1993-06-18","2026-05-02","Per=Y","Days=T","Dir=V")</f>
        <v>0</v>
      </c>
      <c r="M2">
        <f>BDH("RCKT US Equity","BS_CUR_ASSET_REPORT","1993-06-18","2026-05-02","Per=Y","Days=T","Dir=V")</f>
        <v>0</v>
      </c>
      <c r="O2">
        <f>BDH("RCKT US Equity","BS_CUR_LIAB","1993-06-18","2026-05-02","Per=Y","Days=T","Dir=V")</f>
        <v>0</v>
      </c>
      <c r="Q2">
        <f>BDH("RCKT US Equity","BS_SHAREHOLDER_EQY_ENDING_PERIOD","1993-06-18","2026-05-02","Per=Y","Days=T","Dir=V")</f>
        <v>0</v>
      </c>
      <c r="S2">
        <f>BDH("RCKT US Equity","BS_ACCT_NOTE_RCV","1993-06-18","2026-05-02","Per=Y","Days=T","Dir=V")</f>
        <v>0</v>
      </c>
      <c r="U2">
        <f>BDH("RCKT US Equity","BS_INVENTORIES","1993-06-18","2026-05-02","Per=Y","Days=T","Dir=V")</f>
        <v>0</v>
      </c>
      <c r="W2">
        <f>BDH("RCKT US Equity","WORKING_CAPITAL","1993-06-18","2026-05-02","Per=Y","Days=T","Dir=V")</f>
        <v>0</v>
      </c>
      <c r="Y2">
        <f>BDH("RCKT US Equity","SALES_REV_TURN","1993-06-18","2026-05-02","Per=Y","Days=T","Dir=V")</f>
        <v>0</v>
      </c>
      <c r="AA2">
        <f>BDH("RCKT US Equity","EBIT","1993-06-18","2026-05-02","Per=Y","Days=T","Dir=V")</f>
        <v>0</v>
      </c>
      <c r="AC2">
        <f>BDH("RCKT US Equity","EBITDA","1993-06-18","2026-05-02","Per=Y","Days=T","Dir=V")</f>
        <v>0</v>
      </c>
      <c r="AE2">
        <f>BDH("RCKT US Equity","NET_INCOME","1993-06-18","2026-05-02","Per=Y","Days=T","Dir=V")</f>
        <v>0</v>
      </c>
      <c r="AG2">
        <f>BDH("RCKT US Equity","IS_INT_EXPENSE","1993-06-18","2026-05-02","Per=Y","Days=T","Dir=V")</f>
        <v>0</v>
      </c>
      <c r="AI2">
        <f>BDH("RCKT US Equity","IS_DEPR_EXP","1993-06-18","2026-05-02","Per=Y","Days=T","Dir=V")</f>
        <v>0</v>
      </c>
      <c r="AK2">
        <f>BDH("RCKT US Equity","CF_CASH_FROM_OPER","1993-06-18","2026-05-02","Per=Y","Days=T","Dir=V")</f>
        <v>0</v>
      </c>
      <c r="AM2">
        <f>BDH("RCKT US Equity","CAPITAL_EXPEND","1993-06-18","2026-05-02","Per=Y","Days=T","Dir=V")</f>
        <v>0</v>
      </c>
      <c r="AO2">
        <f>BDH("RCKT US Equity","CF_FREE_CASH_FLOW","1993-06-18","2026-05-02","Per=Y","Days=T","Dir=V")</f>
        <v>0</v>
      </c>
      <c r="AQ2">
        <f>BDH("RCKT US Equity","PX_LAST","1993-06-18","2026-05-02","Per=M","Days=T","Dir=V")</f>
        <v>0</v>
      </c>
      <c r="AS2">
        <f>BDH("RCKT US Equity","CUR_MKT_CAP","1993-06-18","2026-05-02","Per=M","Days=T","Dir=V")</f>
        <v>0</v>
      </c>
      <c r="AU2">
        <f>BDH("RCKT US Equity","EQY_SH_OUT","1993-06-18","2026-05-02","Per=M","Days=T","Dir=V")</f>
        <v>0</v>
      </c>
      <c r="AW2">
        <f>BDH("RCKT US Equity","PX_VOLUME","1993-06-18","2026-05-02","Per=M","Days=T","Dir=V")</f>
        <v>0</v>
      </c>
      <c r="AY2">
        <f>BDH("RCKT US Equity","TURNOVER","1993-06-18","2026-05-02","Per=M","Days=T","Dir=V")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BDH("RCKY US Equity","BS_TOT_ASSET","1993-06-18","2026-05-02","Per=Y","Days=T","Dir=V")</f>
        <v>0</v>
      </c>
      <c r="C2">
        <f>BDH("RCKY US Equity","BS_TOT_LIAB2","1993-06-18","2026-05-02","Per=Y","Days=T","Dir=V")</f>
        <v>0</v>
      </c>
      <c r="E2">
        <f>BDH("RCKY US Equity","SHORT_AND_LONG_TERM_DEBT","1993-06-18","2026-05-02","Per=Y","Days=T","Dir=V")</f>
        <v>0</v>
      </c>
      <c r="G2">
        <f>BDH("RCKY US Equity","BS_ST_BORROW","1993-06-18","2026-05-02","Per=Y","Days=T","Dir=V")</f>
        <v>0</v>
      </c>
      <c r="I2">
        <f>BDH("RCKY US Equity","BS_LT_BORROW","1993-06-18","2026-05-02","Per=Y","Days=T","Dir=V")</f>
        <v>0</v>
      </c>
      <c r="K2">
        <f>BDH("RCKY US Equity","BS_CASH_NEAR_CASH_ITEM","1993-06-18","2026-05-02","Per=Y","Days=T","Dir=V")</f>
        <v>0</v>
      </c>
      <c r="M2">
        <f>BDH("RCKY US Equity","BS_CUR_ASSET_REPORT","1993-06-18","2026-05-02","Per=Y","Days=T","Dir=V")</f>
        <v>0</v>
      </c>
      <c r="O2">
        <f>BDH("RCKY US Equity","BS_CUR_LIAB","1993-06-18","2026-05-02","Per=Y","Days=T","Dir=V")</f>
        <v>0</v>
      </c>
      <c r="Q2">
        <f>BDH("RCKY US Equity","BS_SHAREHOLDER_EQY_ENDING_PERIOD","1993-06-18","2026-05-02","Per=Y","Days=T","Dir=V")</f>
        <v>0</v>
      </c>
      <c r="S2">
        <f>BDH("RCKY US Equity","BS_ACCT_NOTE_RCV","1993-06-18","2026-05-02","Per=Y","Days=T","Dir=V")</f>
        <v>0</v>
      </c>
      <c r="U2">
        <f>BDH("RCKY US Equity","BS_INVENTORIES","1993-06-18","2026-05-02","Per=Y","Days=T","Dir=V")</f>
        <v>0</v>
      </c>
      <c r="W2">
        <f>BDH("RCKY US Equity","WORKING_CAPITAL","1993-06-18","2026-05-02","Per=Y","Days=T","Dir=V")</f>
        <v>0</v>
      </c>
      <c r="Y2">
        <f>BDH("RCKY US Equity","SALES_REV_TURN","1993-06-18","2026-05-02","Per=Y","Days=T","Dir=V")</f>
        <v>0</v>
      </c>
      <c r="AA2">
        <f>BDH("RCKY US Equity","EBIT","1993-06-18","2026-05-02","Per=Y","Days=T","Dir=V")</f>
        <v>0</v>
      </c>
      <c r="AC2">
        <f>BDH("RCKY US Equity","EBITDA","1993-06-18","2026-05-02","Per=Y","Days=T","Dir=V")</f>
        <v>0</v>
      </c>
      <c r="AE2">
        <f>BDH("RCKY US Equity","NET_INCOME","1993-06-18","2026-05-02","Per=Y","Days=T","Dir=V")</f>
        <v>0</v>
      </c>
      <c r="AG2">
        <f>BDH("RCKY US Equity","IS_INT_EXPENSE","1993-06-18","2026-05-02","Per=Y","Days=T","Dir=V")</f>
        <v>0</v>
      </c>
      <c r="AI2">
        <f>BDH("RCKY US Equity","IS_DEPR_EXP","1993-06-18","2026-05-02","Per=Y","Days=T","Dir=V")</f>
        <v>0</v>
      </c>
      <c r="AK2">
        <f>BDH("RCKY US Equity","CF_CASH_FROM_OPER","1993-06-18","2026-05-02","Per=Y","Days=T","Dir=V")</f>
        <v>0</v>
      </c>
      <c r="AM2">
        <f>BDH("RCKY US Equity","CAPITAL_EXPEND","1993-06-18","2026-05-02","Per=Y","Days=T","Dir=V")</f>
        <v>0</v>
      </c>
      <c r="AO2">
        <f>BDH("RCKY US Equity","CF_FREE_CASH_FLOW","1993-06-18","2026-05-02","Per=Y","Days=T","Dir=V")</f>
        <v>0</v>
      </c>
      <c r="AQ2">
        <f>BDH("RCKY US Equity","PX_LAST","1993-06-18","2026-05-02","Per=M","Days=T","Dir=V")</f>
        <v>0</v>
      </c>
      <c r="AS2">
        <f>BDH("RCKY US Equity","CUR_MKT_CAP","1993-06-18","2026-05-02","Per=M","Days=T","Dir=V")</f>
        <v>0</v>
      </c>
      <c r="AU2">
        <f>BDH("RCKY US Equity","EQY_SH_OUT","1993-06-18","2026-05-02","Per=M","Days=T","Dir=V")</f>
        <v>0</v>
      </c>
      <c r="AW2">
        <f>BDH("RCKY US Equity","PX_VOLUME","1993-06-18","2026-05-02","Per=M","Days=T","Dir=V")</f>
        <v>0</v>
      </c>
      <c r="AY2">
        <f>BDH("RCKY US Equity","TURNOVER","1993-06-18","2026-05-02","Per=M","Days=T","Dir=V")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BDH("RCL US Equity","BS_TOT_ASSET","1993-06-18","2026-05-02","Per=Y","Days=T","Dir=V")</f>
        <v>0</v>
      </c>
      <c r="C2">
        <f>BDH("RCL US Equity","BS_TOT_LIAB2","1993-06-18","2026-05-02","Per=Y","Days=T","Dir=V")</f>
        <v>0</v>
      </c>
      <c r="E2">
        <f>BDH("RCL US Equity","SHORT_AND_LONG_TERM_DEBT","1993-06-18","2026-05-02","Per=Y","Days=T","Dir=V")</f>
        <v>0</v>
      </c>
      <c r="G2">
        <f>BDH("RCL US Equity","BS_ST_BORROW","1993-06-18","2026-05-02","Per=Y","Days=T","Dir=V")</f>
        <v>0</v>
      </c>
      <c r="I2">
        <f>BDH("RCL US Equity","BS_LT_BORROW","1993-06-18","2026-05-02","Per=Y","Days=T","Dir=V")</f>
        <v>0</v>
      </c>
      <c r="K2">
        <f>BDH("RCL US Equity","BS_CASH_NEAR_CASH_ITEM","1993-06-18","2026-05-02","Per=Y","Days=T","Dir=V")</f>
        <v>0</v>
      </c>
      <c r="M2">
        <f>BDH("RCL US Equity","BS_CUR_ASSET_REPORT","1993-06-18","2026-05-02","Per=Y","Days=T","Dir=V")</f>
        <v>0</v>
      </c>
      <c r="O2">
        <f>BDH("RCL US Equity","BS_CUR_LIAB","1993-06-18","2026-05-02","Per=Y","Days=T","Dir=V")</f>
        <v>0</v>
      </c>
      <c r="Q2">
        <f>BDH("RCL US Equity","BS_SHAREHOLDER_EQY_ENDING_PERIOD","1993-06-18","2026-05-02","Per=Y","Days=T","Dir=V")</f>
        <v>0</v>
      </c>
      <c r="S2">
        <f>BDH("RCL US Equity","BS_ACCT_NOTE_RCV","1993-06-18","2026-05-02","Per=Y","Days=T","Dir=V")</f>
        <v>0</v>
      </c>
      <c r="U2">
        <f>BDH("RCL US Equity","BS_INVENTORIES","1993-06-18","2026-05-02","Per=Y","Days=T","Dir=V")</f>
        <v>0</v>
      </c>
      <c r="W2">
        <f>BDH("RCL US Equity","WORKING_CAPITAL","1993-06-18","2026-05-02","Per=Y","Days=T","Dir=V")</f>
        <v>0</v>
      </c>
      <c r="Y2">
        <f>BDH("RCL US Equity","SALES_REV_TURN","1993-06-18","2026-05-02","Per=Y","Days=T","Dir=V")</f>
        <v>0</v>
      </c>
      <c r="AA2">
        <f>BDH("RCL US Equity","EBIT","1993-06-18","2026-05-02","Per=Y","Days=T","Dir=V")</f>
        <v>0</v>
      </c>
      <c r="AC2">
        <f>BDH("RCL US Equity","EBITDA","1993-06-18","2026-05-02","Per=Y","Days=T","Dir=V")</f>
        <v>0</v>
      </c>
      <c r="AE2">
        <f>BDH("RCL US Equity","NET_INCOME","1993-06-18","2026-05-02","Per=Y","Days=T","Dir=V")</f>
        <v>0</v>
      </c>
      <c r="AG2">
        <f>BDH("RCL US Equity","IS_INT_EXPENSE","1993-06-18","2026-05-02","Per=Y","Days=T","Dir=V")</f>
        <v>0</v>
      </c>
      <c r="AI2">
        <f>BDH("RCL US Equity","IS_DEPR_EXP","1993-06-18","2026-05-02","Per=Y","Days=T","Dir=V")</f>
        <v>0</v>
      </c>
      <c r="AK2">
        <f>BDH("RCL US Equity","CF_CASH_FROM_OPER","1993-06-18","2026-05-02","Per=Y","Days=T","Dir=V")</f>
        <v>0</v>
      </c>
      <c r="AM2">
        <f>BDH("RCL US Equity","CAPITAL_EXPEND","1993-06-18","2026-05-02","Per=Y","Days=T","Dir=V")</f>
        <v>0</v>
      </c>
      <c r="AO2">
        <f>BDH("RCL US Equity","CF_FREE_CASH_FLOW","1993-06-18","2026-05-02","Per=Y","Days=T","Dir=V")</f>
        <v>0</v>
      </c>
      <c r="AQ2">
        <f>BDH("RCL US Equity","PX_LAST","1993-06-18","2026-05-02","Per=M","Days=T","Dir=V")</f>
        <v>0</v>
      </c>
      <c r="AS2">
        <f>BDH("RCL US Equity","CUR_MKT_CAP","1993-06-18","2026-05-02","Per=M","Days=T","Dir=V")</f>
        <v>0</v>
      </c>
      <c r="AU2">
        <f>BDH("RCL US Equity","EQY_SH_OUT","1993-06-18","2026-05-02","Per=M","Days=T","Dir=V")</f>
        <v>0</v>
      </c>
      <c r="AW2">
        <f>BDH("RCL US Equity","PX_VOLUME","1993-06-18","2026-05-02","Per=M","Days=T","Dir=V")</f>
        <v>0</v>
      </c>
      <c r="AY2">
        <f>BDH("RCL US Equity","TURNOVER","1993-06-18","2026-05-02","Per=M","Days=T","Dir=V")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BDH("RCMT US Equity","BS_TOT_ASSET","1993-06-18","2026-05-02","Per=Y","Days=T","Dir=V")</f>
        <v>0</v>
      </c>
      <c r="C2">
        <f>BDH("RCMT US Equity","BS_TOT_LIAB2","1993-06-18","2026-05-02","Per=Y","Days=T","Dir=V")</f>
        <v>0</v>
      </c>
      <c r="E2">
        <f>BDH("RCMT US Equity","SHORT_AND_LONG_TERM_DEBT","1993-06-18","2026-05-02","Per=Y","Days=T","Dir=V")</f>
        <v>0</v>
      </c>
      <c r="G2">
        <f>BDH("RCMT US Equity","BS_ST_BORROW","1993-06-18","2026-05-02","Per=Y","Days=T","Dir=V")</f>
        <v>0</v>
      </c>
      <c r="I2">
        <f>BDH("RCMT US Equity","BS_LT_BORROW","1993-06-18","2026-05-02","Per=Y","Days=T","Dir=V")</f>
        <v>0</v>
      </c>
      <c r="K2">
        <f>BDH("RCMT US Equity","BS_CASH_NEAR_CASH_ITEM","1993-06-18","2026-05-02","Per=Y","Days=T","Dir=V")</f>
        <v>0</v>
      </c>
      <c r="M2">
        <f>BDH("RCMT US Equity","BS_CUR_ASSET_REPORT","1993-06-18","2026-05-02","Per=Y","Days=T","Dir=V")</f>
        <v>0</v>
      </c>
      <c r="O2">
        <f>BDH("RCMT US Equity","BS_CUR_LIAB","1993-06-18","2026-05-02","Per=Y","Days=T","Dir=V")</f>
        <v>0</v>
      </c>
      <c r="Q2">
        <f>BDH("RCMT US Equity","BS_SHAREHOLDER_EQY_ENDING_PERIOD","1993-06-18","2026-05-02","Per=Y","Days=T","Dir=V")</f>
        <v>0</v>
      </c>
      <c r="S2">
        <f>BDH("RCMT US Equity","BS_ACCT_NOTE_RCV","1993-06-18","2026-05-02","Per=Y","Days=T","Dir=V")</f>
        <v>0</v>
      </c>
      <c r="U2">
        <f>BDH("RCMT US Equity","BS_INVENTORIES","1993-06-18","2026-05-02","Per=Y","Days=T","Dir=V")</f>
        <v>0</v>
      </c>
      <c r="W2">
        <f>BDH("RCMT US Equity","WORKING_CAPITAL","1993-06-18","2026-05-02","Per=Y","Days=T","Dir=V")</f>
        <v>0</v>
      </c>
      <c r="Y2">
        <f>BDH("RCMT US Equity","SALES_REV_TURN","1993-06-18","2026-05-02","Per=Y","Days=T","Dir=V")</f>
        <v>0</v>
      </c>
      <c r="AA2">
        <f>BDH("RCMT US Equity","EBIT","1993-06-18","2026-05-02","Per=Y","Days=T","Dir=V")</f>
        <v>0</v>
      </c>
      <c r="AC2">
        <f>BDH("RCMT US Equity","EBITDA","1993-06-18","2026-05-02","Per=Y","Days=T","Dir=V")</f>
        <v>0</v>
      </c>
      <c r="AE2">
        <f>BDH("RCMT US Equity","NET_INCOME","1993-06-18","2026-05-02","Per=Y","Days=T","Dir=V")</f>
        <v>0</v>
      </c>
      <c r="AG2">
        <f>BDH("RCMT US Equity","IS_INT_EXPENSE","1993-06-18","2026-05-02","Per=Y","Days=T","Dir=V")</f>
        <v>0</v>
      </c>
      <c r="AI2">
        <f>BDH("RCMT US Equity","IS_DEPR_EXP","1993-06-18","2026-05-02","Per=Y","Days=T","Dir=V")</f>
        <v>0</v>
      </c>
      <c r="AK2">
        <f>BDH("RCMT US Equity","CF_CASH_FROM_OPER","1993-06-18","2026-05-02","Per=Y","Days=T","Dir=V")</f>
        <v>0</v>
      </c>
      <c r="AM2">
        <f>BDH("RCMT US Equity","CAPITAL_EXPEND","1993-06-18","2026-05-02","Per=Y","Days=T","Dir=V")</f>
        <v>0</v>
      </c>
      <c r="AO2">
        <f>BDH("RCMT US Equity","CF_FREE_CASH_FLOW","1993-06-18","2026-05-02","Per=Y","Days=T","Dir=V")</f>
        <v>0</v>
      </c>
      <c r="AQ2">
        <f>BDH("RCMT US Equity","PX_LAST","1993-06-18","2026-05-02","Per=M","Days=T","Dir=V")</f>
        <v>0</v>
      </c>
      <c r="AS2">
        <f>BDH("RCMT US Equity","CUR_MKT_CAP","1993-06-18","2026-05-02","Per=M","Days=T","Dir=V")</f>
        <v>0</v>
      </c>
      <c r="AU2">
        <f>BDH("RCMT US Equity","EQY_SH_OUT","1993-06-18","2026-05-02","Per=M","Days=T","Dir=V")</f>
        <v>0</v>
      </c>
      <c r="AW2">
        <f>BDH("RCMT US Equity","PX_VOLUME","1993-06-18","2026-05-02","Per=M","Days=T","Dir=V")</f>
        <v>0</v>
      </c>
      <c r="AY2">
        <f>BDH("RCMT US Equity","TURNOVER","1993-06-18","2026-05-02","Per=M","Days=T","Dir=V")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BDH("RCUS US Equity","BS_TOT_ASSET","1993-06-18","2026-05-02","Per=Y","Days=T","Dir=V")</f>
        <v>0</v>
      </c>
      <c r="C2">
        <f>BDH("RCUS US Equity","BS_TOT_LIAB2","1993-06-18","2026-05-02","Per=Y","Days=T","Dir=V")</f>
        <v>0</v>
      </c>
      <c r="E2">
        <f>BDH("RCUS US Equity","SHORT_AND_LONG_TERM_DEBT","1993-06-18","2026-05-02","Per=Y","Days=T","Dir=V")</f>
        <v>0</v>
      </c>
      <c r="G2">
        <f>BDH("RCUS US Equity","BS_ST_BORROW","1993-06-18","2026-05-02","Per=Y","Days=T","Dir=V")</f>
        <v>0</v>
      </c>
      <c r="I2">
        <f>BDH("RCUS US Equity","BS_LT_BORROW","1993-06-18","2026-05-02","Per=Y","Days=T","Dir=V")</f>
        <v>0</v>
      </c>
      <c r="K2">
        <f>BDH("RCUS US Equity","BS_CASH_NEAR_CASH_ITEM","1993-06-18","2026-05-02","Per=Y","Days=T","Dir=V")</f>
        <v>0</v>
      </c>
      <c r="M2">
        <f>BDH("RCUS US Equity","BS_CUR_ASSET_REPORT","1993-06-18","2026-05-02","Per=Y","Days=T","Dir=V")</f>
        <v>0</v>
      </c>
      <c r="O2">
        <f>BDH("RCUS US Equity","BS_CUR_LIAB","1993-06-18","2026-05-02","Per=Y","Days=T","Dir=V")</f>
        <v>0</v>
      </c>
      <c r="Q2">
        <f>BDH("RCUS US Equity","BS_SHAREHOLDER_EQY_ENDING_PERIOD","1993-06-18","2026-05-02","Per=Y","Days=T","Dir=V")</f>
        <v>0</v>
      </c>
      <c r="S2">
        <f>BDH("RCUS US Equity","BS_ACCT_NOTE_RCV","1993-06-18","2026-05-02","Per=Y","Days=T","Dir=V")</f>
        <v>0</v>
      </c>
      <c r="U2">
        <f>BDH("RCUS US Equity","BS_INVENTORIES","1993-06-18","2026-05-02","Per=Y","Days=T","Dir=V")</f>
        <v>0</v>
      </c>
      <c r="W2">
        <f>BDH("RCUS US Equity","WORKING_CAPITAL","1993-06-18","2026-05-02","Per=Y","Days=T","Dir=V")</f>
        <v>0</v>
      </c>
      <c r="Y2">
        <f>BDH("RCUS US Equity","SALES_REV_TURN","1993-06-18","2026-05-02","Per=Y","Days=T","Dir=V")</f>
        <v>0</v>
      </c>
      <c r="AA2">
        <f>BDH("RCUS US Equity","EBIT","1993-06-18","2026-05-02","Per=Y","Days=T","Dir=V")</f>
        <v>0</v>
      </c>
      <c r="AC2">
        <f>BDH("RCUS US Equity","EBITDA","1993-06-18","2026-05-02","Per=Y","Days=T","Dir=V")</f>
        <v>0</v>
      </c>
      <c r="AE2">
        <f>BDH("RCUS US Equity","NET_INCOME","1993-06-18","2026-05-02","Per=Y","Days=T","Dir=V")</f>
        <v>0</v>
      </c>
      <c r="AG2">
        <f>BDH("RCUS US Equity","IS_INT_EXPENSE","1993-06-18","2026-05-02","Per=Y","Days=T","Dir=V")</f>
        <v>0</v>
      </c>
      <c r="AI2">
        <f>BDH("RCUS US Equity","IS_DEPR_EXP","1993-06-18","2026-05-02","Per=Y","Days=T","Dir=V")</f>
        <v>0</v>
      </c>
      <c r="AK2">
        <f>BDH("RCUS US Equity","CF_CASH_FROM_OPER","1993-06-18","2026-05-02","Per=Y","Days=T","Dir=V")</f>
        <v>0</v>
      </c>
      <c r="AM2">
        <f>BDH("RCUS US Equity","CAPITAL_EXPEND","1993-06-18","2026-05-02","Per=Y","Days=T","Dir=V")</f>
        <v>0</v>
      </c>
      <c r="AO2">
        <f>BDH("RCUS US Equity","CF_FREE_CASH_FLOW","1993-06-18","2026-05-02","Per=Y","Days=T","Dir=V")</f>
        <v>0</v>
      </c>
      <c r="AQ2">
        <f>BDH("RCUS US Equity","PX_LAST","1993-06-18","2026-05-02","Per=M","Days=T","Dir=V")</f>
        <v>0</v>
      </c>
      <c r="AS2">
        <f>BDH("RCUS US Equity","CUR_MKT_CAP","1993-06-18","2026-05-02","Per=M","Days=T","Dir=V")</f>
        <v>0</v>
      </c>
      <c r="AU2">
        <f>BDH("RCUS US Equity","EQY_SH_OUT","1993-06-18","2026-05-02","Per=M","Days=T","Dir=V")</f>
        <v>0</v>
      </c>
      <c r="AW2">
        <f>BDH("RCUS US Equity","PX_VOLUME","1993-06-18","2026-05-02","Per=M","Days=T","Dir=V")</f>
        <v>0</v>
      </c>
      <c r="AY2">
        <f>BDH("RCUS US Equity","TURNOVER","1993-06-18","2026-05-02","Per=M","Days=T","Dir=V")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BDH("RDDT US Equity","BS_TOT_ASSET","1993-06-18","2026-05-02","Per=Y","Days=T","Dir=V")</f>
        <v>0</v>
      </c>
      <c r="C2">
        <f>BDH("RDDT US Equity","BS_TOT_LIAB2","1993-06-18","2026-05-02","Per=Y","Days=T","Dir=V")</f>
        <v>0</v>
      </c>
      <c r="E2">
        <f>BDH("RDDT US Equity","SHORT_AND_LONG_TERM_DEBT","1993-06-18","2026-05-02","Per=Y","Days=T","Dir=V")</f>
        <v>0</v>
      </c>
      <c r="G2">
        <f>BDH("RDDT US Equity","BS_ST_BORROW","1993-06-18","2026-05-02","Per=Y","Days=T","Dir=V")</f>
        <v>0</v>
      </c>
      <c r="I2">
        <f>BDH("RDDT US Equity","BS_LT_BORROW","1993-06-18","2026-05-02","Per=Y","Days=T","Dir=V")</f>
        <v>0</v>
      </c>
      <c r="K2">
        <f>BDH("RDDT US Equity","BS_CASH_NEAR_CASH_ITEM","1993-06-18","2026-05-02","Per=Y","Days=T","Dir=V")</f>
        <v>0</v>
      </c>
      <c r="M2">
        <f>BDH("RDDT US Equity","BS_CUR_ASSET_REPORT","1993-06-18","2026-05-02","Per=Y","Days=T","Dir=V")</f>
        <v>0</v>
      </c>
      <c r="O2">
        <f>BDH("RDDT US Equity","BS_CUR_LIAB","1993-06-18","2026-05-02","Per=Y","Days=T","Dir=V")</f>
        <v>0</v>
      </c>
      <c r="Q2">
        <f>BDH("RDDT US Equity","BS_SHAREHOLDER_EQY_ENDING_PERIOD","1993-06-18","2026-05-02","Per=Y","Days=T","Dir=V")</f>
        <v>0</v>
      </c>
      <c r="S2">
        <f>BDH("RDDT US Equity","BS_ACCT_NOTE_RCV","1993-06-18","2026-05-02","Per=Y","Days=T","Dir=V")</f>
        <v>0</v>
      </c>
      <c r="U2">
        <f>BDH("RDDT US Equity","BS_INVENTORIES","1993-06-18","2026-05-02","Per=Y","Days=T","Dir=V")</f>
        <v>0</v>
      </c>
      <c r="W2">
        <f>BDH("RDDT US Equity","WORKING_CAPITAL","1993-06-18","2026-05-02","Per=Y","Days=T","Dir=V")</f>
        <v>0</v>
      </c>
      <c r="Y2">
        <f>BDH("RDDT US Equity","SALES_REV_TURN","1993-06-18","2026-05-02","Per=Y","Days=T","Dir=V")</f>
        <v>0</v>
      </c>
      <c r="AA2">
        <f>BDH("RDDT US Equity","EBIT","1993-06-18","2026-05-02","Per=Y","Days=T","Dir=V")</f>
        <v>0</v>
      </c>
      <c r="AC2">
        <f>BDH("RDDT US Equity","EBITDA","1993-06-18","2026-05-02","Per=Y","Days=T","Dir=V")</f>
        <v>0</v>
      </c>
      <c r="AE2">
        <f>BDH("RDDT US Equity","NET_INCOME","1993-06-18","2026-05-02","Per=Y","Days=T","Dir=V")</f>
        <v>0</v>
      </c>
      <c r="AG2">
        <f>BDH("RDDT US Equity","IS_INT_EXPENSE","1993-06-18","2026-05-02","Per=Y","Days=T","Dir=V")</f>
        <v>0</v>
      </c>
      <c r="AI2">
        <f>BDH("RDDT US Equity","IS_DEPR_EXP","1993-06-18","2026-05-02","Per=Y","Days=T","Dir=V")</f>
        <v>0</v>
      </c>
      <c r="AK2">
        <f>BDH("RDDT US Equity","CF_CASH_FROM_OPER","1993-06-18","2026-05-02","Per=Y","Days=T","Dir=V")</f>
        <v>0</v>
      </c>
      <c r="AM2">
        <f>BDH("RDDT US Equity","CAPITAL_EXPEND","1993-06-18","2026-05-02","Per=Y","Days=T","Dir=V")</f>
        <v>0</v>
      </c>
      <c r="AO2">
        <f>BDH("RDDT US Equity","CF_FREE_CASH_FLOW","1993-06-18","2026-05-02","Per=Y","Days=T","Dir=V")</f>
        <v>0</v>
      </c>
      <c r="AQ2">
        <f>BDH("RDDT US Equity","PX_LAST","1993-06-18","2026-05-02","Per=M","Days=T","Dir=V")</f>
        <v>0</v>
      </c>
      <c r="AS2">
        <f>BDH("RDDT US Equity","CUR_MKT_CAP","1993-06-18","2026-05-02","Per=M","Days=T","Dir=V")</f>
        <v>0</v>
      </c>
      <c r="AU2">
        <f>BDH("RDDT US Equity","EQY_SH_OUT","1993-06-18","2026-05-02","Per=M","Days=T","Dir=V")</f>
        <v>0</v>
      </c>
      <c r="AW2">
        <f>BDH("RDDT US Equity","PX_VOLUME","1993-06-18","2026-05-02","Per=M","Days=T","Dir=V")</f>
        <v>0</v>
      </c>
      <c r="AY2">
        <f>BDH("RDDT US Equity","TURNOVER","1993-06-18","2026-05-02","Per=M","Days=T","Dir=V")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BDH("RDI US Equity","BS_TOT_ASSET","1993-06-18","2026-05-02","Per=Y","Days=T","Dir=V")</f>
        <v>0</v>
      </c>
      <c r="C2">
        <f>BDH("RDI US Equity","BS_TOT_LIAB2","1993-06-18","2026-05-02","Per=Y","Days=T","Dir=V")</f>
        <v>0</v>
      </c>
      <c r="E2">
        <f>BDH("RDI US Equity","SHORT_AND_LONG_TERM_DEBT","1993-06-18","2026-05-02","Per=Y","Days=T","Dir=V")</f>
        <v>0</v>
      </c>
      <c r="G2">
        <f>BDH("RDI US Equity","BS_ST_BORROW","1993-06-18","2026-05-02","Per=Y","Days=T","Dir=V")</f>
        <v>0</v>
      </c>
      <c r="I2">
        <f>BDH("RDI US Equity","BS_LT_BORROW","1993-06-18","2026-05-02","Per=Y","Days=T","Dir=V")</f>
        <v>0</v>
      </c>
      <c r="K2">
        <f>BDH("RDI US Equity","BS_CASH_NEAR_CASH_ITEM","1993-06-18","2026-05-02","Per=Y","Days=T","Dir=V")</f>
        <v>0</v>
      </c>
      <c r="M2">
        <f>BDH("RDI US Equity","BS_CUR_ASSET_REPORT","1993-06-18","2026-05-02","Per=Y","Days=T","Dir=V")</f>
        <v>0</v>
      </c>
      <c r="O2">
        <f>BDH("RDI US Equity","BS_CUR_LIAB","1993-06-18","2026-05-02","Per=Y","Days=T","Dir=V")</f>
        <v>0</v>
      </c>
      <c r="Q2">
        <f>BDH("RDI US Equity","BS_SHAREHOLDER_EQY_ENDING_PERIOD","1993-06-18","2026-05-02","Per=Y","Days=T","Dir=V")</f>
        <v>0</v>
      </c>
      <c r="S2">
        <f>BDH("RDI US Equity","BS_ACCT_NOTE_RCV","1993-06-18","2026-05-02","Per=Y","Days=T","Dir=V")</f>
        <v>0</v>
      </c>
      <c r="U2">
        <f>BDH("RDI US Equity","BS_INVENTORIES","1993-06-18","2026-05-02","Per=Y","Days=T","Dir=V")</f>
        <v>0</v>
      </c>
      <c r="W2">
        <f>BDH("RDI US Equity","WORKING_CAPITAL","1993-06-18","2026-05-02","Per=Y","Days=T","Dir=V")</f>
        <v>0</v>
      </c>
      <c r="Y2">
        <f>BDH("RDI US Equity","SALES_REV_TURN","1993-06-18","2026-05-02","Per=Y","Days=T","Dir=V")</f>
        <v>0</v>
      </c>
      <c r="AA2">
        <f>BDH("RDI US Equity","EBIT","1993-06-18","2026-05-02","Per=Y","Days=T","Dir=V")</f>
        <v>0</v>
      </c>
      <c r="AC2">
        <f>BDH("RDI US Equity","EBITDA","1993-06-18","2026-05-02","Per=Y","Days=T","Dir=V")</f>
        <v>0</v>
      </c>
      <c r="AE2">
        <f>BDH("RDI US Equity","NET_INCOME","1993-06-18","2026-05-02","Per=Y","Days=T","Dir=V")</f>
        <v>0</v>
      </c>
      <c r="AG2">
        <f>BDH("RDI US Equity","IS_INT_EXPENSE","1993-06-18","2026-05-02","Per=Y","Days=T","Dir=V")</f>
        <v>0</v>
      </c>
      <c r="AI2">
        <f>BDH("RDI US Equity","IS_DEPR_EXP","1993-06-18","2026-05-02","Per=Y","Days=T","Dir=V")</f>
        <v>0</v>
      </c>
      <c r="AK2">
        <f>BDH("RDI US Equity","CF_CASH_FROM_OPER","1993-06-18","2026-05-02","Per=Y","Days=T","Dir=V")</f>
        <v>0</v>
      </c>
      <c r="AM2">
        <f>BDH("RDI US Equity","CAPITAL_EXPEND","1993-06-18","2026-05-02","Per=Y","Days=T","Dir=V")</f>
        <v>0</v>
      </c>
      <c r="AO2">
        <f>BDH("RDI US Equity","CF_FREE_CASH_FLOW","1993-06-18","2026-05-02","Per=Y","Days=T","Dir=V")</f>
        <v>0</v>
      </c>
      <c r="AQ2">
        <f>BDH("RDI US Equity","PX_LAST","1993-06-18","2026-05-02","Per=M","Days=T","Dir=V")</f>
        <v>0</v>
      </c>
      <c r="AS2">
        <f>BDH("RDI US Equity","CUR_MKT_CAP","1993-06-18","2026-05-02","Per=M","Days=T","Dir=V")</f>
        <v>0</v>
      </c>
      <c r="AU2">
        <f>BDH("RDI US Equity","EQY_SH_OUT","1993-06-18","2026-05-02","Per=M","Days=T","Dir=V")</f>
        <v>0</v>
      </c>
      <c r="AW2">
        <f>BDH("RDI US Equity","PX_VOLUME","1993-06-18","2026-05-02","Per=M","Days=T","Dir=V")</f>
        <v>0</v>
      </c>
      <c r="AY2">
        <f>BDH("RDI US Equity","TURNOVER","1993-06-18","2026-05-02","Per=M","Days=T","Dir=V")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BDH("RDIB US Equity","BS_TOT_ASSET","1993-06-18","2026-05-02","Per=Y","Days=T","Dir=V")</f>
        <v>0</v>
      </c>
      <c r="C2">
        <f>BDH("RDIB US Equity","BS_TOT_LIAB2","1993-06-18","2026-05-02","Per=Y","Days=T","Dir=V")</f>
        <v>0</v>
      </c>
      <c r="E2">
        <f>BDH("RDIB US Equity","SHORT_AND_LONG_TERM_DEBT","1993-06-18","2026-05-02","Per=Y","Days=T","Dir=V")</f>
        <v>0</v>
      </c>
      <c r="G2">
        <f>BDH("RDIB US Equity","BS_ST_BORROW","1993-06-18","2026-05-02","Per=Y","Days=T","Dir=V")</f>
        <v>0</v>
      </c>
      <c r="I2">
        <f>BDH("RDIB US Equity","BS_LT_BORROW","1993-06-18","2026-05-02","Per=Y","Days=T","Dir=V")</f>
        <v>0</v>
      </c>
      <c r="K2">
        <f>BDH("RDIB US Equity","BS_CASH_NEAR_CASH_ITEM","1993-06-18","2026-05-02","Per=Y","Days=T","Dir=V")</f>
        <v>0</v>
      </c>
      <c r="M2">
        <f>BDH("RDIB US Equity","BS_CUR_ASSET_REPORT","1993-06-18","2026-05-02","Per=Y","Days=T","Dir=V")</f>
        <v>0</v>
      </c>
      <c r="O2">
        <f>BDH("RDIB US Equity","BS_CUR_LIAB","1993-06-18","2026-05-02","Per=Y","Days=T","Dir=V")</f>
        <v>0</v>
      </c>
      <c r="Q2">
        <f>BDH("RDIB US Equity","BS_SHAREHOLDER_EQY_ENDING_PERIOD","1993-06-18","2026-05-02","Per=Y","Days=T","Dir=V")</f>
        <v>0</v>
      </c>
      <c r="S2">
        <f>BDH("RDIB US Equity","BS_ACCT_NOTE_RCV","1993-06-18","2026-05-02","Per=Y","Days=T","Dir=V")</f>
        <v>0</v>
      </c>
      <c r="U2">
        <f>BDH("RDIB US Equity","BS_INVENTORIES","1993-06-18","2026-05-02","Per=Y","Days=T","Dir=V")</f>
        <v>0</v>
      </c>
      <c r="W2">
        <f>BDH("RDIB US Equity","WORKING_CAPITAL","1993-06-18","2026-05-02","Per=Y","Days=T","Dir=V")</f>
        <v>0</v>
      </c>
      <c r="Y2">
        <f>BDH("RDIB US Equity","SALES_REV_TURN","1993-06-18","2026-05-02","Per=Y","Days=T","Dir=V")</f>
        <v>0</v>
      </c>
      <c r="AA2">
        <f>BDH("RDIB US Equity","EBIT","1993-06-18","2026-05-02","Per=Y","Days=T","Dir=V")</f>
        <v>0</v>
      </c>
      <c r="AC2">
        <f>BDH("RDIB US Equity","EBITDA","1993-06-18","2026-05-02","Per=Y","Days=T","Dir=V")</f>
        <v>0</v>
      </c>
      <c r="AE2">
        <f>BDH("RDIB US Equity","NET_INCOME","1993-06-18","2026-05-02","Per=Y","Days=T","Dir=V")</f>
        <v>0</v>
      </c>
      <c r="AG2">
        <f>BDH("RDIB US Equity","IS_INT_EXPENSE","1993-06-18","2026-05-02","Per=Y","Days=T","Dir=V")</f>
        <v>0</v>
      </c>
      <c r="AI2">
        <f>BDH("RDIB US Equity","IS_DEPR_EXP","1993-06-18","2026-05-02","Per=Y","Days=T","Dir=V")</f>
        <v>0</v>
      </c>
      <c r="AK2">
        <f>BDH("RDIB US Equity","CF_CASH_FROM_OPER","1993-06-18","2026-05-02","Per=Y","Days=T","Dir=V")</f>
        <v>0</v>
      </c>
      <c r="AM2">
        <f>BDH("RDIB US Equity","CAPITAL_EXPEND","1993-06-18","2026-05-02","Per=Y","Days=T","Dir=V")</f>
        <v>0</v>
      </c>
      <c r="AO2">
        <f>BDH("RDIB US Equity","CF_FREE_CASH_FLOW","1993-06-18","2026-05-02","Per=Y","Days=T","Dir=V")</f>
        <v>0</v>
      </c>
      <c r="AQ2">
        <f>BDH("RDIB US Equity","PX_LAST","1993-06-18","2026-05-02","Per=M","Days=T","Dir=V")</f>
        <v>0</v>
      </c>
      <c r="AS2">
        <f>BDH("RDIB US Equity","CUR_MKT_CAP","1993-06-18","2026-05-02","Per=M","Days=T","Dir=V")</f>
        <v>0</v>
      </c>
      <c r="AU2">
        <f>BDH("RDIB US Equity","EQY_SH_OUT","1993-06-18","2026-05-02","Per=M","Days=T","Dir=V")</f>
        <v>0</v>
      </c>
      <c r="AW2">
        <f>BDH("RDIB US Equity","PX_VOLUME","1993-06-18","2026-05-02","Per=M","Days=T","Dir=V")</f>
        <v>0</v>
      </c>
      <c r="AY2">
        <f>BDH("RDIB US Equity","TURNOVER","1993-06-18","2026-05-02","Per=M","Days=T","Dir=V")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BDH("RDNT US Equity","BS_TOT_ASSET","1993-06-18","2026-05-02","Per=Y","Days=T","Dir=V")</f>
        <v>0</v>
      </c>
      <c r="C2">
        <f>BDH("RDNT US Equity","BS_TOT_LIAB2","1993-06-18","2026-05-02","Per=Y","Days=T","Dir=V")</f>
        <v>0</v>
      </c>
      <c r="E2">
        <f>BDH("RDNT US Equity","SHORT_AND_LONG_TERM_DEBT","1993-06-18","2026-05-02","Per=Y","Days=T","Dir=V")</f>
        <v>0</v>
      </c>
      <c r="G2">
        <f>BDH("RDNT US Equity","BS_ST_BORROW","1993-06-18","2026-05-02","Per=Y","Days=T","Dir=V")</f>
        <v>0</v>
      </c>
      <c r="I2">
        <f>BDH("RDNT US Equity","BS_LT_BORROW","1993-06-18","2026-05-02","Per=Y","Days=T","Dir=V")</f>
        <v>0</v>
      </c>
      <c r="K2">
        <f>BDH("RDNT US Equity","BS_CASH_NEAR_CASH_ITEM","1993-06-18","2026-05-02","Per=Y","Days=T","Dir=V")</f>
        <v>0</v>
      </c>
      <c r="M2">
        <f>BDH("RDNT US Equity","BS_CUR_ASSET_REPORT","1993-06-18","2026-05-02","Per=Y","Days=T","Dir=V")</f>
        <v>0</v>
      </c>
      <c r="O2">
        <f>BDH("RDNT US Equity","BS_CUR_LIAB","1993-06-18","2026-05-02","Per=Y","Days=T","Dir=V")</f>
        <v>0</v>
      </c>
      <c r="Q2">
        <f>BDH("RDNT US Equity","BS_SHAREHOLDER_EQY_ENDING_PERIOD","1993-06-18","2026-05-02","Per=Y","Days=T","Dir=V")</f>
        <v>0</v>
      </c>
      <c r="S2">
        <f>BDH("RDNT US Equity","BS_ACCT_NOTE_RCV","1993-06-18","2026-05-02","Per=Y","Days=T","Dir=V")</f>
        <v>0</v>
      </c>
      <c r="U2">
        <f>BDH("RDNT US Equity","BS_INVENTORIES","1993-06-18","2026-05-02","Per=Y","Days=T","Dir=V")</f>
        <v>0</v>
      </c>
      <c r="W2">
        <f>BDH("RDNT US Equity","WORKING_CAPITAL","1993-06-18","2026-05-02","Per=Y","Days=T","Dir=V")</f>
        <v>0</v>
      </c>
      <c r="Y2">
        <f>BDH("RDNT US Equity","SALES_REV_TURN","1993-06-18","2026-05-02","Per=Y","Days=T","Dir=V")</f>
        <v>0</v>
      </c>
      <c r="AA2">
        <f>BDH("RDNT US Equity","EBIT","1993-06-18","2026-05-02","Per=Y","Days=T","Dir=V")</f>
        <v>0</v>
      </c>
      <c r="AC2">
        <f>BDH("RDNT US Equity","EBITDA","1993-06-18","2026-05-02","Per=Y","Days=T","Dir=V")</f>
        <v>0</v>
      </c>
      <c r="AE2">
        <f>BDH("RDNT US Equity","NET_INCOME","1993-06-18","2026-05-02","Per=Y","Days=T","Dir=V")</f>
        <v>0</v>
      </c>
      <c r="AG2">
        <f>BDH("RDNT US Equity","IS_INT_EXPENSE","1993-06-18","2026-05-02","Per=Y","Days=T","Dir=V")</f>
        <v>0</v>
      </c>
      <c r="AI2">
        <f>BDH("RDNT US Equity","IS_DEPR_EXP","1993-06-18","2026-05-02","Per=Y","Days=T","Dir=V")</f>
        <v>0</v>
      </c>
      <c r="AK2">
        <f>BDH("RDNT US Equity","CF_CASH_FROM_OPER","1993-06-18","2026-05-02","Per=Y","Days=T","Dir=V")</f>
        <v>0</v>
      </c>
      <c r="AM2">
        <f>BDH("RDNT US Equity","CAPITAL_EXPEND","1993-06-18","2026-05-02","Per=Y","Days=T","Dir=V")</f>
        <v>0</v>
      </c>
      <c r="AO2">
        <f>BDH("RDNT US Equity","CF_FREE_CASH_FLOW","1993-06-18","2026-05-02","Per=Y","Days=T","Dir=V")</f>
        <v>0</v>
      </c>
      <c r="AQ2">
        <f>BDH("RDNT US Equity","PX_LAST","1993-06-18","2026-05-02","Per=M","Days=T","Dir=V")</f>
        <v>0</v>
      </c>
      <c r="AS2">
        <f>BDH("RDNT US Equity","CUR_MKT_CAP","1993-06-18","2026-05-02","Per=M","Days=T","Dir=V")</f>
        <v>0</v>
      </c>
      <c r="AU2">
        <f>BDH("RDNT US Equity","EQY_SH_OUT","1993-06-18","2026-05-02","Per=M","Days=T","Dir=V")</f>
        <v>0</v>
      </c>
      <c r="AW2">
        <f>BDH("RDNT US Equity","PX_VOLUME","1993-06-18","2026-05-02","Per=M","Days=T","Dir=V")</f>
        <v>0</v>
      </c>
      <c r="AY2">
        <f>BDH("RDNT US Equity","TURNOVER","1993-06-18","2026-05-02","Per=M","Days=T","Dir=V")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BDH("RDNW US Equity","BS_TOT_ASSET","1993-06-18","2026-05-02","Per=Y","Days=T","Dir=V")</f>
        <v>0</v>
      </c>
      <c r="C2">
        <f>BDH("RDNW US Equity","BS_TOT_LIAB2","1993-06-18","2026-05-02","Per=Y","Days=T","Dir=V")</f>
        <v>0</v>
      </c>
      <c r="E2">
        <f>BDH("RDNW US Equity","SHORT_AND_LONG_TERM_DEBT","1993-06-18","2026-05-02","Per=Y","Days=T","Dir=V")</f>
        <v>0</v>
      </c>
      <c r="G2">
        <f>BDH("RDNW US Equity","BS_ST_BORROW","1993-06-18","2026-05-02","Per=Y","Days=T","Dir=V")</f>
        <v>0</v>
      </c>
      <c r="I2">
        <f>BDH("RDNW US Equity","BS_LT_BORROW","1993-06-18","2026-05-02","Per=Y","Days=T","Dir=V")</f>
        <v>0</v>
      </c>
      <c r="K2">
        <f>BDH("RDNW US Equity","BS_CASH_NEAR_CASH_ITEM","1993-06-18","2026-05-02","Per=Y","Days=T","Dir=V")</f>
        <v>0</v>
      </c>
      <c r="M2">
        <f>BDH("RDNW US Equity","BS_CUR_ASSET_REPORT","1993-06-18","2026-05-02","Per=Y","Days=T","Dir=V")</f>
        <v>0</v>
      </c>
      <c r="O2">
        <f>BDH("RDNW US Equity","BS_CUR_LIAB","1993-06-18","2026-05-02","Per=Y","Days=T","Dir=V")</f>
        <v>0</v>
      </c>
      <c r="Q2">
        <f>BDH("RDNW US Equity","BS_SHAREHOLDER_EQY_ENDING_PERIOD","1993-06-18","2026-05-02","Per=Y","Days=T","Dir=V")</f>
        <v>0</v>
      </c>
      <c r="S2">
        <f>BDH("RDNW US Equity","BS_ACCT_NOTE_RCV","1993-06-18","2026-05-02","Per=Y","Days=T","Dir=V")</f>
        <v>0</v>
      </c>
      <c r="U2">
        <f>BDH("RDNW US Equity","BS_INVENTORIES","1993-06-18","2026-05-02","Per=Y","Days=T","Dir=V")</f>
        <v>0</v>
      </c>
      <c r="W2">
        <f>BDH("RDNW US Equity","WORKING_CAPITAL","1993-06-18","2026-05-02","Per=Y","Days=T","Dir=V")</f>
        <v>0</v>
      </c>
      <c r="Y2">
        <f>BDH("RDNW US Equity","SALES_REV_TURN","1993-06-18","2026-05-02","Per=Y","Days=T","Dir=V")</f>
        <v>0</v>
      </c>
      <c r="AA2">
        <f>BDH("RDNW US Equity","EBIT","1993-06-18","2026-05-02","Per=Y","Days=T","Dir=V")</f>
        <v>0</v>
      </c>
      <c r="AC2">
        <f>BDH("RDNW US Equity","EBITDA","1993-06-18","2026-05-02","Per=Y","Days=T","Dir=V")</f>
        <v>0</v>
      </c>
      <c r="AE2">
        <f>BDH("RDNW US Equity","NET_INCOME","1993-06-18","2026-05-02","Per=Y","Days=T","Dir=V")</f>
        <v>0</v>
      </c>
      <c r="AG2">
        <f>BDH("RDNW US Equity","IS_INT_EXPENSE","1993-06-18","2026-05-02","Per=Y","Days=T","Dir=V")</f>
        <v>0</v>
      </c>
      <c r="AI2">
        <f>BDH("RDNW US Equity","IS_DEPR_EXP","1993-06-18","2026-05-02","Per=Y","Days=T","Dir=V")</f>
        <v>0</v>
      </c>
      <c r="AK2">
        <f>BDH("RDNW US Equity","CF_CASH_FROM_OPER","1993-06-18","2026-05-02","Per=Y","Days=T","Dir=V")</f>
        <v>0</v>
      </c>
      <c r="AM2">
        <f>BDH("RDNW US Equity","CAPITAL_EXPEND","1993-06-18","2026-05-02","Per=Y","Days=T","Dir=V")</f>
        <v>0</v>
      </c>
      <c r="AO2">
        <f>BDH("RDNW US Equity","CF_FREE_CASH_FLOW","1993-06-18","2026-05-02","Per=Y","Days=T","Dir=V")</f>
        <v>0</v>
      </c>
      <c r="AQ2">
        <f>BDH("RDNW US Equity","PX_LAST","1993-06-18","2026-05-02","Per=M","Days=T","Dir=V")</f>
        <v>0</v>
      </c>
      <c r="AS2">
        <f>BDH("RDNW US Equity","CUR_MKT_CAP","1993-06-18","2026-05-02","Per=M","Days=T","Dir=V")</f>
        <v>0</v>
      </c>
      <c r="AU2">
        <f>BDH("RDNW US Equity","EQY_SH_OUT","1993-06-18","2026-05-02","Per=M","Days=T","Dir=V")</f>
        <v>0</v>
      </c>
      <c r="AW2">
        <f>BDH("RDNW US Equity","PX_VOLUME","1993-06-18","2026-05-02","Per=M","Days=T","Dir=V")</f>
        <v>0</v>
      </c>
      <c r="AY2">
        <f>BDH("RDNW US Equity","TURNOVER","1993-06-18","2026-05-02","Per=M","Days=T","Dir=V")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BDH("RDVT US Equity","BS_TOT_ASSET","1993-06-18","2026-05-02","Per=Y","Days=T","Dir=V")</f>
        <v>0</v>
      </c>
      <c r="C2">
        <f>BDH("RDVT US Equity","BS_TOT_LIAB2","1993-06-18","2026-05-02","Per=Y","Days=T","Dir=V")</f>
        <v>0</v>
      </c>
      <c r="E2">
        <f>BDH("RDVT US Equity","SHORT_AND_LONG_TERM_DEBT","1993-06-18","2026-05-02","Per=Y","Days=T","Dir=V")</f>
        <v>0</v>
      </c>
      <c r="G2">
        <f>BDH("RDVT US Equity","BS_ST_BORROW","1993-06-18","2026-05-02","Per=Y","Days=T","Dir=V")</f>
        <v>0</v>
      </c>
      <c r="I2">
        <f>BDH("RDVT US Equity","BS_LT_BORROW","1993-06-18","2026-05-02","Per=Y","Days=T","Dir=V")</f>
        <v>0</v>
      </c>
      <c r="K2">
        <f>BDH("RDVT US Equity","BS_CASH_NEAR_CASH_ITEM","1993-06-18","2026-05-02","Per=Y","Days=T","Dir=V")</f>
        <v>0</v>
      </c>
      <c r="M2">
        <f>BDH("RDVT US Equity","BS_CUR_ASSET_REPORT","1993-06-18","2026-05-02","Per=Y","Days=T","Dir=V")</f>
        <v>0</v>
      </c>
      <c r="O2">
        <f>BDH("RDVT US Equity","BS_CUR_LIAB","1993-06-18","2026-05-02","Per=Y","Days=T","Dir=V")</f>
        <v>0</v>
      </c>
      <c r="Q2">
        <f>BDH("RDVT US Equity","BS_SHAREHOLDER_EQY_ENDING_PERIOD","1993-06-18","2026-05-02","Per=Y","Days=T","Dir=V")</f>
        <v>0</v>
      </c>
      <c r="S2">
        <f>BDH("RDVT US Equity","BS_ACCT_NOTE_RCV","1993-06-18","2026-05-02","Per=Y","Days=T","Dir=V")</f>
        <v>0</v>
      </c>
      <c r="U2">
        <f>BDH("RDVT US Equity","BS_INVENTORIES","1993-06-18","2026-05-02","Per=Y","Days=T","Dir=V")</f>
        <v>0</v>
      </c>
      <c r="W2">
        <f>BDH("RDVT US Equity","WORKING_CAPITAL","1993-06-18","2026-05-02","Per=Y","Days=T","Dir=V")</f>
        <v>0</v>
      </c>
      <c r="Y2">
        <f>BDH("RDVT US Equity","SALES_REV_TURN","1993-06-18","2026-05-02","Per=Y","Days=T","Dir=V")</f>
        <v>0</v>
      </c>
      <c r="AA2">
        <f>BDH("RDVT US Equity","EBIT","1993-06-18","2026-05-02","Per=Y","Days=T","Dir=V")</f>
        <v>0</v>
      </c>
      <c r="AC2">
        <f>BDH("RDVT US Equity","EBITDA","1993-06-18","2026-05-02","Per=Y","Days=T","Dir=V")</f>
        <v>0</v>
      </c>
      <c r="AE2">
        <f>BDH("RDVT US Equity","NET_INCOME","1993-06-18","2026-05-02","Per=Y","Days=T","Dir=V")</f>
        <v>0</v>
      </c>
      <c r="AG2">
        <f>BDH("RDVT US Equity","IS_INT_EXPENSE","1993-06-18","2026-05-02","Per=Y","Days=T","Dir=V")</f>
        <v>0</v>
      </c>
      <c r="AI2">
        <f>BDH("RDVT US Equity","IS_DEPR_EXP","1993-06-18","2026-05-02","Per=Y","Days=T","Dir=V")</f>
        <v>0</v>
      </c>
      <c r="AK2">
        <f>BDH("RDVT US Equity","CF_CASH_FROM_OPER","1993-06-18","2026-05-02","Per=Y","Days=T","Dir=V")</f>
        <v>0</v>
      </c>
      <c r="AM2">
        <f>BDH("RDVT US Equity","CAPITAL_EXPEND","1993-06-18","2026-05-02","Per=Y","Days=T","Dir=V")</f>
        <v>0</v>
      </c>
      <c r="AO2">
        <f>BDH("RDVT US Equity","CF_FREE_CASH_FLOW","1993-06-18","2026-05-02","Per=Y","Days=T","Dir=V")</f>
        <v>0</v>
      </c>
      <c r="AQ2">
        <f>BDH("RDVT US Equity","PX_LAST","1993-06-18","2026-05-02","Per=M","Days=T","Dir=V")</f>
        <v>0</v>
      </c>
      <c r="AS2">
        <f>BDH("RDVT US Equity","CUR_MKT_CAP","1993-06-18","2026-05-02","Per=M","Days=T","Dir=V")</f>
        <v>0</v>
      </c>
      <c r="AU2">
        <f>BDH("RDVT US Equity","EQY_SH_OUT","1993-06-18","2026-05-02","Per=M","Days=T","Dir=V")</f>
        <v>0</v>
      </c>
      <c r="AW2">
        <f>BDH("RDVT US Equity","PX_VOLUME","1993-06-18","2026-05-02","Per=M","Days=T","Dir=V")</f>
        <v>0</v>
      </c>
      <c r="AY2">
        <f>BDH("RDVT US Equity","TURNOVER","1993-06-18","2026-05-02","Per=M","Days=T","Dir=V")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BDH("RDW US Equity","BS_TOT_ASSET","1993-06-18","2026-05-02","Per=Y","Days=T","Dir=V")</f>
        <v>0</v>
      </c>
      <c r="C2">
        <f>BDH("RDW US Equity","BS_TOT_LIAB2","1993-06-18","2026-05-02","Per=Y","Days=T","Dir=V")</f>
        <v>0</v>
      </c>
      <c r="E2">
        <f>BDH("RDW US Equity","SHORT_AND_LONG_TERM_DEBT","1993-06-18","2026-05-02","Per=Y","Days=T","Dir=V")</f>
        <v>0</v>
      </c>
      <c r="G2">
        <f>BDH("RDW US Equity","BS_ST_BORROW","1993-06-18","2026-05-02","Per=Y","Days=T","Dir=V")</f>
        <v>0</v>
      </c>
      <c r="I2">
        <f>BDH("RDW US Equity","BS_LT_BORROW","1993-06-18","2026-05-02","Per=Y","Days=T","Dir=V")</f>
        <v>0</v>
      </c>
      <c r="K2">
        <f>BDH("RDW US Equity","BS_CASH_NEAR_CASH_ITEM","1993-06-18","2026-05-02","Per=Y","Days=T","Dir=V")</f>
        <v>0</v>
      </c>
      <c r="M2">
        <f>BDH("RDW US Equity","BS_CUR_ASSET_REPORT","1993-06-18","2026-05-02","Per=Y","Days=T","Dir=V")</f>
        <v>0</v>
      </c>
      <c r="O2">
        <f>BDH("RDW US Equity","BS_CUR_LIAB","1993-06-18","2026-05-02","Per=Y","Days=T","Dir=V")</f>
        <v>0</v>
      </c>
      <c r="Q2">
        <f>BDH("RDW US Equity","BS_SHAREHOLDER_EQY_ENDING_PERIOD","1993-06-18","2026-05-02","Per=Y","Days=T","Dir=V")</f>
        <v>0</v>
      </c>
      <c r="S2">
        <f>BDH("RDW US Equity","BS_ACCT_NOTE_RCV","1993-06-18","2026-05-02","Per=Y","Days=T","Dir=V")</f>
        <v>0</v>
      </c>
      <c r="U2">
        <f>BDH("RDW US Equity","BS_INVENTORIES","1993-06-18","2026-05-02","Per=Y","Days=T","Dir=V")</f>
        <v>0</v>
      </c>
      <c r="W2">
        <f>BDH("RDW US Equity","WORKING_CAPITAL","1993-06-18","2026-05-02","Per=Y","Days=T","Dir=V")</f>
        <v>0</v>
      </c>
      <c r="Y2">
        <f>BDH("RDW US Equity","SALES_REV_TURN","1993-06-18","2026-05-02","Per=Y","Days=T","Dir=V")</f>
        <v>0</v>
      </c>
      <c r="AA2">
        <f>BDH("RDW US Equity","EBIT","1993-06-18","2026-05-02","Per=Y","Days=T","Dir=V")</f>
        <v>0</v>
      </c>
      <c r="AC2">
        <f>BDH("RDW US Equity","EBITDA","1993-06-18","2026-05-02","Per=Y","Days=T","Dir=V")</f>
        <v>0</v>
      </c>
      <c r="AE2">
        <f>BDH("RDW US Equity","NET_INCOME","1993-06-18","2026-05-02","Per=Y","Days=T","Dir=V")</f>
        <v>0</v>
      </c>
      <c r="AG2">
        <f>BDH("RDW US Equity","IS_INT_EXPENSE","1993-06-18","2026-05-02","Per=Y","Days=T","Dir=V")</f>
        <v>0</v>
      </c>
      <c r="AI2">
        <f>BDH("RDW US Equity","IS_DEPR_EXP","1993-06-18","2026-05-02","Per=Y","Days=T","Dir=V")</f>
        <v>0</v>
      </c>
      <c r="AK2">
        <f>BDH("RDW US Equity","CF_CASH_FROM_OPER","1993-06-18","2026-05-02","Per=Y","Days=T","Dir=V")</f>
        <v>0</v>
      </c>
      <c r="AM2">
        <f>BDH("RDW US Equity","CAPITAL_EXPEND","1993-06-18","2026-05-02","Per=Y","Days=T","Dir=V")</f>
        <v>0</v>
      </c>
      <c r="AO2">
        <f>BDH("RDW US Equity","CF_FREE_CASH_FLOW","1993-06-18","2026-05-02","Per=Y","Days=T","Dir=V")</f>
        <v>0</v>
      </c>
      <c r="AQ2">
        <f>BDH("RDW US Equity","PX_LAST","1993-06-18","2026-05-02","Per=M","Days=T","Dir=V")</f>
        <v>0</v>
      </c>
      <c r="AS2">
        <f>BDH("RDW US Equity","CUR_MKT_CAP","1993-06-18","2026-05-02","Per=M","Days=T","Dir=V")</f>
        <v>0</v>
      </c>
      <c r="AU2">
        <f>BDH("RDW US Equity","EQY_SH_OUT","1993-06-18","2026-05-02","Per=M","Days=T","Dir=V")</f>
        <v>0</v>
      </c>
      <c r="AW2">
        <f>BDH("RDW US Equity","PX_VOLUME","1993-06-18","2026-05-02","Per=M","Days=T","Dir=V")</f>
        <v>0</v>
      </c>
      <c r="AY2">
        <f>BDH("RDW US Equity","TURNOVER","1993-06-18","2026-05-02","Per=M","Days=T","Dir=V")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BDH("REAL US Equity","BS_TOT_ASSET","1993-06-18","2026-05-02","Per=Y","Days=T","Dir=V")</f>
        <v>0</v>
      </c>
      <c r="C2">
        <f>BDH("REAL US Equity","BS_TOT_LIAB2","1993-06-18","2026-05-02","Per=Y","Days=T","Dir=V")</f>
        <v>0</v>
      </c>
      <c r="E2">
        <f>BDH("REAL US Equity","SHORT_AND_LONG_TERM_DEBT","1993-06-18","2026-05-02","Per=Y","Days=T","Dir=V")</f>
        <v>0</v>
      </c>
      <c r="G2">
        <f>BDH("REAL US Equity","BS_ST_BORROW","1993-06-18","2026-05-02","Per=Y","Days=T","Dir=V")</f>
        <v>0</v>
      </c>
      <c r="I2">
        <f>BDH("REAL US Equity","BS_LT_BORROW","1993-06-18","2026-05-02","Per=Y","Days=T","Dir=V")</f>
        <v>0</v>
      </c>
      <c r="K2">
        <f>BDH("REAL US Equity","BS_CASH_NEAR_CASH_ITEM","1993-06-18","2026-05-02","Per=Y","Days=T","Dir=V")</f>
        <v>0</v>
      </c>
      <c r="M2">
        <f>BDH("REAL US Equity","BS_CUR_ASSET_REPORT","1993-06-18","2026-05-02","Per=Y","Days=T","Dir=V")</f>
        <v>0</v>
      </c>
      <c r="O2">
        <f>BDH("REAL US Equity","BS_CUR_LIAB","1993-06-18","2026-05-02","Per=Y","Days=T","Dir=V")</f>
        <v>0</v>
      </c>
      <c r="Q2">
        <f>BDH("REAL US Equity","BS_SHAREHOLDER_EQY_ENDING_PERIOD","1993-06-18","2026-05-02","Per=Y","Days=T","Dir=V")</f>
        <v>0</v>
      </c>
      <c r="S2">
        <f>BDH("REAL US Equity","BS_ACCT_NOTE_RCV","1993-06-18","2026-05-02","Per=Y","Days=T","Dir=V")</f>
        <v>0</v>
      </c>
      <c r="U2">
        <f>BDH("REAL US Equity","BS_INVENTORIES","1993-06-18","2026-05-02","Per=Y","Days=T","Dir=V")</f>
        <v>0</v>
      </c>
      <c r="W2">
        <f>BDH("REAL US Equity","WORKING_CAPITAL","1993-06-18","2026-05-02","Per=Y","Days=T","Dir=V")</f>
        <v>0</v>
      </c>
      <c r="Y2">
        <f>BDH("REAL US Equity","SALES_REV_TURN","1993-06-18","2026-05-02","Per=Y","Days=T","Dir=V")</f>
        <v>0</v>
      </c>
      <c r="AA2">
        <f>BDH("REAL US Equity","EBIT","1993-06-18","2026-05-02","Per=Y","Days=T","Dir=V")</f>
        <v>0</v>
      </c>
      <c r="AC2">
        <f>BDH("REAL US Equity","EBITDA","1993-06-18","2026-05-02","Per=Y","Days=T","Dir=V")</f>
        <v>0</v>
      </c>
      <c r="AE2">
        <f>BDH("REAL US Equity","NET_INCOME","1993-06-18","2026-05-02","Per=Y","Days=T","Dir=V")</f>
        <v>0</v>
      </c>
      <c r="AG2">
        <f>BDH("REAL US Equity","IS_INT_EXPENSE","1993-06-18","2026-05-02","Per=Y","Days=T","Dir=V")</f>
        <v>0</v>
      </c>
      <c r="AI2">
        <f>BDH("REAL US Equity","IS_DEPR_EXP","1993-06-18","2026-05-02","Per=Y","Days=T","Dir=V")</f>
        <v>0</v>
      </c>
      <c r="AK2">
        <f>BDH("REAL US Equity","CF_CASH_FROM_OPER","1993-06-18","2026-05-02","Per=Y","Days=T","Dir=V")</f>
        <v>0</v>
      </c>
      <c r="AM2">
        <f>BDH("REAL US Equity","CAPITAL_EXPEND","1993-06-18","2026-05-02","Per=Y","Days=T","Dir=V")</f>
        <v>0</v>
      </c>
      <c r="AO2">
        <f>BDH("REAL US Equity","CF_FREE_CASH_FLOW","1993-06-18","2026-05-02","Per=Y","Days=T","Dir=V")</f>
        <v>0</v>
      </c>
      <c r="AQ2">
        <f>BDH("REAL US Equity","PX_LAST","1993-06-18","2026-05-02","Per=M","Days=T","Dir=V")</f>
        <v>0</v>
      </c>
      <c r="AS2">
        <f>BDH("REAL US Equity","CUR_MKT_CAP","1993-06-18","2026-05-02","Per=M","Days=T","Dir=V")</f>
        <v>0</v>
      </c>
      <c r="AU2">
        <f>BDH("REAL US Equity","EQY_SH_OUT","1993-06-18","2026-05-02","Per=M","Days=T","Dir=V")</f>
        <v>0</v>
      </c>
      <c r="AW2">
        <f>BDH("REAL US Equity","PX_VOLUME","1993-06-18","2026-05-02","Per=M","Days=T","Dir=V")</f>
        <v>0</v>
      </c>
      <c r="AY2">
        <f>BDH("REAL US Equity","TURNOVER","1993-06-18","2026-05-02","Per=M","Days=T","Dir=V")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BDH("REBN US Equity","BS_TOT_ASSET","1993-06-18","2026-05-02","Per=Y","Days=T","Dir=V")</f>
        <v>0</v>
      </c>
      <c r="C2">
        <f>BDH("REBN US Equity","BS_TOT_LIAB2","1993-06-18","2026-05-02","Per=Y","Days=T","Dir=V")</f>
        <v>0</v>
      </c>
      <c r="E2">
        <f>BDH("REBN US Equity","SHORT_AND_LONG_TERM_DEBT","1993-06-18","2026-05-02","Per=Y","Days=T","Dir=V")</f>
        <v>0</v>
      </c>
      <c r="G2">
        <f>BDH("REBN US Equity","BS_ST_BORROW","1993-06-18","2026-05-02","Per=Y","Days=T","Dir=V")</f>
        <v>0</v>
      </c>
      <c r="I2">
        <f>BDH("REBN US Equity","BS_LT_BORROW","1993-06-18","2026-05-02","Per=Y","Days=T","Dir=V")</f>
        <v>0</v>
      </c>
      <c r="K2">
        <f>BDH("REBN US Equity","BS_CASH_NEAR_CASH_ITEM","1993-06-18","2026-05-02","Per=Y","Days=T","Dir=V")</f>
        <v>0</v>
      </c>
      <c r="M2">
        <f>BDH("REBN US Equity","BS_CUR_ASSET_REPORT","1993-06-18","2026-05-02","Per=Y","Days=T","Dir=V")</f>
        <v>0</v>
      </c>
      <c r="O2">
        <f>BDH("REBN US Equity","BS_CUR_LIAB","1993-06-18","2026-05-02","Per=Y","Days=T","Dir=V")</f>
        <v>0</v>
      </c>
      <c r="Q2">
        <f>BDH("REBN US Equity","BS_SHAREHOLDER_EQY_ENDING_PERIOD","1993-06-18","2026-05-02","Per=Y","Days=T","Dir=V")</f>
        <v>0</v>
      </c>
      <c r="S2">
        <f>BDH("REBN US Equity","BS_ACCT_NOTE_RCV","1993-06-18","2026-05-02","Per=Y","Days=T","Dir=V")</f>
        <v>0</v>
      </c>
      <c r="U2">
        <f>BDH("REBN US Equity","BS_INVENTORIES","1993-06-18","2026-05-02","Per=Y","Days=T","Dir=V")</f>
        <v>0</v>
      </c>
      <c r="W2">
        <f>BDH("REBN US Equity","WORKING_CAPITAL","1993-06-18","2026-05-02","Per=Y","Days=T","Dir=V")</f>
        <v>0</v>
      </c>
      <c r="Y2">
        <f>BDH("REBN US Equity","SALES_REV_TURN","1993-06-18","2026-05-02","Per=Y","Days=T","Dir=V")</f>
        <v>0</v>
      </c>
      <c r="AA2">
        <f>BDH("REBN US Equity","EBIT","1993-06-18","2026-05-02","Per=Y","Days=T","Dir=V")</f>
        <v>0</v>
      </c>
      <c r="AC2">
        <f>BDH("REBN US Equity","EBITDA","1993-06-18","2026-05-02","Per=Y","Days=T","Dir=V")</f>
        <v>0</v>
      </c>
      <c r="AE2">
        <f>BDH("REBN US Equity","NET_INCOME","1993-06-18","2026-05-02","Per=Y","Days=T","Dir=V")</f>
        <v>0</v>
      </c>
      <c r="AG2">
        <f>BDH("REBN US Equity","IS_INT_EXPENSE","1993-06-18","2026-05-02","Per=Y","Days=T","Dir=V")</f>
        <v>0</v>
      </c>
      <c r="AI2">
        <f>BDH("REBN US Equity","IS_DEPR_EXP","1993-06-18","2026-05-02","Per=Y","Days=T","Dir=V")</f>
        <v>0</v>
      </c>
      <c r="AK2">
        <f>BDH("REBN US Equity","CF_CASH_FROM_OPER","1993-06-18","2026-05-02","Per=Y","Days=T","Dir=V")</f>
        <v>0</v>
      </c>
      <c r="AM2">
        <f>BDH("REBN US Equity","CAPITAL_EXPEND","1993-06-18","2026-05-02","Per=Y","Days=T","Dir=V")</f>
        <v>0</v>
      </c>
      <c r="AO2">
        <f>BDH("REBN US Equity","CF_FREE_CASH_FLOW","1993-06-18","2026-05-02","Per=Y","Days=T","Dir=V")</f>
        <v>0</v>
      </c>
      <c r="AQ2">
        <f>BDH("REBN US Equity","PX_LAST","1993-06-18","2026-05-02","Per=M","Days=T","Dir=V")</f>
        <v>0</v>
      </c>
      <c r="AS2">
        <f>BDH("REBN US Equity","CUR_MKT_CAP","1993-06-18","2026-05-02","Per=M","Days=T","Dir=V")</f>
        <v>0</v>
      </c>
      <c r="AU2">
        <f>BDH("REBN US Equity","EQY_SH_OUT","1993-06-18","2026-05-02","Per=M","Days=T","Dir=V")</f>
        <v>0</v>
      </c>
      <c r="AW2">
        <f>BDH("REBN US Equity","PX_VOLUME","1993-06-18","2026-05-02","Per=M","Days=T","Dir=V")</f>
        <v>0</v>
      </c>
      <c r="AY2">
        <f>BDH("REBN US Equity","TURNOVER","1993-06-18","2026-05-02","Per=M","Days=T","Dir=V")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BDH("REGN US Equity","BS_TOT_ASSET","1993-06-18","2026-05-02","Per=Y","Days=T","Dir=V")</f>
        <v>0</v>
      </c>
      <c r="C2">
        <f>BDH("REGN US Equity","BS_TOT_LIAB2","1993-06-18","2026-05-02","Per=Y","Days=T","Dir=V")</f>
        <v>0</v>
      </c>
      <c r="E2">
        <f>BDH("REGN US Equity","SHORT_AND_LONG_TERM_DEBT","1993-06-18","2026-05-02","Per=Y","Days=T","Dir=V")</f>
        <v>0</v>
      </c>
      <c r="G2">
        <f>BDH("REGN US Equity","BS_ST_BORROW","1993-06-18","2026-05-02","Per=Y","Days=T","Dir=V")</f>
        <v>0</v>
      </c>
      <c r="I2">
        <f>BDH("REGN US Equity","BS_LT_BORROW","1993-06-18","2026-05-02","Per=Y","Days=T","Dir=V")</f>
        <v>0</v>
      </c>
      <c r="K2">
        <f>BDH("REGN US Equity","BS_CASH_NEAR_CASH_ITEM","1993-06-18","2026-05-02","Per=Y","Days=T","Dir=V")</f>
        <v>0</v>
      </c>
      <c r="M2">
        <f>BDH("REGN US Equity","BS_CUR_ASSET_REPORT","1993-06-18","2026-05-02","Per=Y","Days=T","Dir=V")</f>
        <v>0</v>
      </c>
      <c r="O2">
        <f>BDH("REGN US Equity","BS_CUR_LIAB","1993-06-18","2026-05-02","Per=Y","Days=T","Dir=V")</f>
        <v>0</v>
      </c>
      <c r="Q2">
        <f>BDH("REGN US Equity","BS_SHAREHOLDER_EQY_ENDING_PERIOD","1993-06-18","2026-05-02","Per=Y","Days=T","Dir=V")</f>
        <v>0</v>
      </c>
      <c r="S2">
        <f>BDH("REGN US Equity","BS_ACCT_NOTE_RCV","1993-06-18","2026-05-02","Per=Y","Days=T","Dir=V")</f>
        <v>0</v>
      </c>
      <c r="U2">
        <f>BDH("REGN US Equity","BS_INVENTORIES","1993-06-18","2026-05-02","Per=Y","Days=T","Dir=V")</f>
        <v>0</v>
      </c>
      <c r="W2">
        <f>BDH("REGN US Equity","WORKING_CAPITAL","1993-06-18","2026-05-02","Per=Y","Days=T","Dir=V")</f>
        <v>0</v>
      </c>
      <c r="Y2">
        <f>BDH("REGN US Equity","SALES_REV_TURN","1993-06-18","2026-05-02","Per=Y","Days=T","Dir=V")</f>
        <v>0</v>
      </c>
      <c r="AA2">
        <f>BDH("REGN US Equity","EBIT","1993-06-18","2026-05-02","Per=Y","Days=T","Dir=V")</f>
        <v>0</v>
      </c>
      <c r="AC2">
        <f>BDH("REGN US Equity","EBITDA","1993-06-18","2026-05-02","Per=Y","Days=T","Dir=V")</f>
        <v>0</v>
      </c>
      <c r="AE2">
        <f>BDH("REGN US Equity","NET_INCOME","1993-06-18","2026-05-02","Per=Y","Days=T","Dir=V")</f>
        <v>0</v>
      </c>
      <c r="AG2">
        <f>BDH("REGN US Equity","IS_INT_EXPENSE","1993-06-18","2026-05-02","Per=Y","Days=T","Dir=V")</f>
        <v>0</v>
      </c>
      <c r="AI2">
        <f>BDH("REGN US Equity","IS_DEPR_EXP","1993-06-18","2026-05-02","Per=Y","Days=T","Dir=V")</f>
        <v>0</v>
      </c>
      <c r="AK2">
        <f>BDH("REGN US Equity","CF_CASH_FROM_OPER","1993-06-18","2026-05-02","Per=Y","Days=T","Dir=V")</f>
        <v>0</v>
      </c>
      <c r="AM2">
        <f>BDH("REGN US Equity","CAPITAL_EXPEND","1993-06-18","2026-05-02","Per=Y","Days=T","Dir=V")</f>
        <v>0</v>
      </c>
      <c r="AO2">
        <f>BDH("REGN US Equity","CF_FREE_CASH_FLOW","1993-06-18","2026-05-02","Per=Y","Days=T","Dir=V")</f>
        <v>0</v>
      </c>
      <c r="AQ2">
        <f>BDH("REGN US Equity","PX_LAST","1993-06-18","2026-05-02","Per=M","Days=T","Dir=V")</f>
        <v>0</v>
      </c>
      <c r="AS2">
        <f>BDH("REGN US Equity","CUR_MKT_CAP","1993-06-18","2026-05-02","Per=M","Days=T","Dir=V")</f>
        <v>0</v>
      </c>
      <c r="AU2">
        <f>BDH("REGN US Equity","EQY_SH_OUT","1993-06-18","2026-05-02","Per=M","Days=T","Dir=V")</f>
        <v>0</v>
      </c>
      <c r="AW2">
        <f>BDH("REGN US Equity","PX_VOLUME","1993-06-18","2026-05-02","Per=M","Days=T","Dir=V")</f>
        <v>0</v>
      </c>
      <c r="AY2">
        <f>BDH("REGN US Equity","TURNOVER","1993-06-18","2026-05-02","Per=M","Days=T","Dir=V")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BDH("REI US Equity","BS_TOT_ASSET","1993-06-18","2026-05-02","Per=Y","Days=T","Dir=V")</f>
        <v>0</v>
      </c>
      <c r="C2">
        <f>BDH("REI US Equity","BS_TOT_LIAB2","1993-06-18","2026-05-02","Per=Y","Days=T","Dir=V")</f>
        <v>0</v>
      </c>
      <c r="E2">
        <f>BDH("REI US Equity","SHORT_AND_LONG_TERM_DEBT","1993-06-18","2026-05-02","Per=Y","Days=T","Dir=V")</f>
        <v>0</v>
      </c>
      <c r="G2">
        <f>BDH("REI US Equity","BS_ST_BORROW","1993-06-18","2026-05-02","Per=Y","Days=T","Dir=V")</f>
        <v>0</v>
      </c>
      <c r="I2">
        <f>BDH("REI US Equity","BS_LT_BORROW","1993-06-18","2026-05-02","Per=Y","Days=T","Dir=V")</f>
        <v>0</v>
      </c>
      <c r="K2">
        <f>BDH("REI US Equity","BS_CASH_NEAR_CASH_ITEM","1993-06-18","2026-05-02","Per=Y","Days=T","Dir=V")</f>
        <v>0</v>
      </c>
      <c r="M2">
        <f>BDH("REI US Equity","BS_CUR_ASSET_REPORT","1993-06-18","2026-05-02","Per=Y","Days=T","Dir=V")</f>
        <v>0</v>
      </c>
      <c r="O2">
        <f>BDH("REI US Equity","BS_CUR_LIAB","1993-06-18","2026-05-02","Per=Y","Days=T","Dir=V")</f>
        <v>0</v>
      </c>
      <c r="Q2">
        <f>BDH("REI US Equity","BS_SHAREHOLDER_EQY_ENDING_PERIOD","1993-06-18","2026-05-02","Per=Y","Days=T","Dir=V")</f>
        <v>0</v>
      </c>
      <c r="S2">
        <f>BDH("REI US Equity","BS_ACCT_NOTE_RCV","1993-06-18","2026-05-02","Per=Y","Days=T","Dir=V")</f>
        <v>0</v>
      </c>
      <c r="U2">
        <f>BDH("REI US Equity","BS_INVENTORIES","1993-06-18","2026-05-02","Per=Y","Days=T","Dir=V")</f>
        <v>0</v>
      </c>
      <c r="W2">
        <f>BDH("REI US Equity","WORKING_CAPITAL","1993-06-18","2026-05-02","Per=Y","Days=T","Dir=V")</f>
        <v>0</v>
      </c>
      <c r="Y2">
        <f>BDH("REI US Equity","SALES_REV_TURN","1993-06-18","2026-05-02","Per=Y","Days=T","Dir=V")</f>
        <v>0</v>
      </c>
      <c r="AA2">
        <f>BDH("REI US Equity","EBIT","1993-06-18","2026-05-02","Per=Y","Days=T","Dir=V")</f>
        <v>0</v>
      </c>
      <c r="AC2">
        <f>BDH("REI US Equity","EBITDA","1993-06-18","2026-05-02","Per=Y","Days=T","Dir=V")</f>
        <v>0</v>
      </c>
      <c r="AE2">
        <f>BDH("REI US Equity","NET_INCOME","1993-06-18","2026-05-02","Per=Y","Days=T","Dir=V")</f>
        <v>0</v>
      </c>
      <c r="AG2">
        <f>BDH("REI US Equity","IS_INT_EXPENSE","1993-06-18","2026-05-02","Per=Y","Days=T","Dir=V")</f>
        <v>0</v>
      </c>
      <c r="AI2">
        <f>BDH("REI US Equity","IS_DEPR_EXP","1993-06-18","2026-05-02","Per=Y","Days=T","Dir=V")</f>
        <v>0</v>
      </c>
      <c r="AK2">
        <f>BDH("REI US Equity","CF_CASH_FROM_OPER","1993-06-18","2026-05-02","Per=Y","Days=T","Dir=V")</f>
        <v>0</v>
      </c>
      <c r="AM2">
        <f>BDH("REI US Equity","CAPITAL_EXPEND","1993-06-18","2026-05-02","Per=Y","Days=T","Dir=V")</f>
        <v>0</v>
      </c>
      <c r="AO2">
        <f>BDH("REI US Equity","CF_FREE_CASH_FLOW","1993-06-18","2026-05-02","Per=Y","Days=T","Dir=V")</f>
        <v>0</v>
      </c>
      <c r="AQ2">
        <f>BDH("REI US Equity","PX_LAST","1993-06-18","2026-05-02","Per=M","Days=T","Dir=V")</f>
        <v>0</v>
      </c>
      <c r="AS2">
        <f>BDH("REI US Equity","CUR_MKT_CAP","1993-06-18","2026-05-02","Per=M","Days=T","Dir=V")</f>
        <v>0</v>
      </c>
      <c r="AU2">
        <f>BDH("REI US Equity","EQY_SH_OUT","1993-06-18","2026-05-02","Per=M","Days=T","Dir=V")</f>
        <v>0</v>
      </c>
      <c r="AW2">
        <f>BDH("REI US Equity","PX_VOLUME","1993-06-18","2026-05-02","Per=M","Days=T","Dir=V")</f>
        <v>0</v>
      </c>
      <c r="AY2">
        <f>BDH("REI US Equity","TURNOVER","1993-06-18","2026-05-02","Per=M","Days=T","Dir=V")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BDH("REKR US Equity","BS_TOT_ASSET","1993-06-18","2026-05-02","Per=Y","Days=T","Dir=V")</f>
        <v>0</v>
      </c>
      <c r="C2">
        <f>BDH("REKR US Equity","BS_TOT_LIAB2","1993-06-18","2026-05-02","Per=Y","Days=T","Dir=V")</f>
        <v>0</v>
      </c>
      <c r="E2">
        <f>BDH("REKR US Equity","SHORT_AND_LONG_TERM_DEBT","1993-06-18","2026-05-02","Per=Y","Days=T","Dir=V")</f>
        <v>0</v>
      </c>
      <c r="G2">
        <f>BDH("REKR US Equity","BS_ST_BORROW","1993-06-18","2026-05-02","Per=Y","Days=T","Dir=V")</f>
        <v>0</v>
      </c>
      <c r="I2">
        <f>BDH("REKR US Equity","BS_LT_BORROW","1993-06-18","2026-05-02","Per=Y","Days=T","Dir=V")</f>
        <v>0</v>
      </c>
      <c r="K2">
        <f>BDH("REKR US Equity","BS_CASH_NEAR_CASH_ITEM","1993-06-18","2026-05-02","Per=Y","Days=T","Dir=V")</f>
        <v>0</v>
      </c>
      <c r="M2">
        <f>BDH("REKR US Equity","BS_CUR_ASSET_REPORT","1993-06-18","2026-05-02","Per=Y","Days=T","Dir=V")</f>
        <v>0</v>
      </c>
      <c r="O2">
        <f>BDH("REKR US Equity","BS_CUR_LIAB","1993-06-18","2026-05-02","Per=Y","Days=T","Dir=V")</f>
        <v>0</v>
      </c>
      <c r="Q2">
        <f>BDH("REKR US Equity","BS_SHAREHOLDER_EQY_ENDING_PERIOD","1993-06-18","2026-05-02","Per=Y","Days=T","Dir=V")</f>
        <v>0</v>
      </c>
      <c r="S2">
        <f>BDH("REKR US Equity","BS_ACCT_NOTE_RCV","1993-06-18","2026-05-02","Per=Y","Days=T","Dir=V")</f>
        <v>0</v>
      </c>
      <c r="U2">
        <f>BDH("REKR US Equity","BS_INVENTORIES","1993-06-18","2026-05-02","Per=Y","Days=T","Dir=V")</f>
        <v>0</v>
      </c>
      <c r="W2">
        <f>BDH("REKR US Equity","WORKING_CAPITAL","1993-06-18","2026-05-02","Per=Y","Days=T","Dir=V")</f>
        <v>0</v>
      </c>
      <c r="Y2">
        <f>BDH("REKR US Equity","SALES_REV_TURN","1993-06-18","2026-05-02","Per=Y","Days=T","Dir=V")</f>
        <v>0</v>
      </c>
      <c r="AA2">
        <f>BDH("REKR US Equity","EBIT","1993-06-18","2026-05-02","Per=Y","Days=T","Dir=V")</f>
        <v>0</v>
      </c>
      <c r="AC2">
        <f>BDH("REKR US Equity","EBITDA","1993-06-18","2026-05-02","Per=Y","Days=T","Dir=V")</f>
        <v>0</v>
      </c>
      <c r="AE2">
        <f>BDH("REKR US Equity","NET_INCOME","1993-06-18","2026-05-02","Per=Y","Days=T","Dir=V")</f>
        <v>0</v>
      </c>
      <c r="AG2">
        <f>BDH("REKR US Equity","IS_INT_EXPENSE","1993-06-18","2026-05-02","Per=Y","Days=T","Dir=V")</f>
        <v>0</v>
      </c>
      <c r="AI2">
        <f>BDH("REKR US Equity","IS_DEPR_EXP","1993-06-18","2026-05-02","Per=Y","Days=T","Dir=V")</f>
        <v>0</v>
      </c>
      <c r="AK2">
        <f>BDH("REKR US Equity","CF_CASH_FROM_OPER","1993-06-18","2026-05-02","Per=Y","Days=T","Dir=V")</f>
        <v>0</v>
      </c>
      <c r="AM2">
        <f>BDH("REKR US Equity","CAPITAL_EXPEND","1993-06-18","2026-05-02","Per=Y","Days=T","Dir=V")</f>
        <v>0</v>
      </c>
      <c r="AO2">
        <f>BDH("REKR US Equity","CF_FREE_CASH_FLOW","1993-06-18","2026-05-02","Per=Y","Days=T","Dir=V")</f>
        <v>0</v>
      </c>
      <c r="AQ2">
        <f>BDH("REKR US Equity","PX_LAST","1993-06-18","2026-05-02","Per=M","Days=T","Dir=V")</f>
        <v>0</v>
      </c>
      <c r="AS2">
        <f>BDH("REKR US Equity","CUR_MKT_CAP","1993-06-18","2026-05-02","Per=M","Days=T","Dir=V")</f>
        <v>0</v>
      </c>
      <c r="AU2">
        <f>BDH("REKR US Equity","EQY_SH_OUT","1993-06-18","2026-05-02","Per=M","Days=T","Dir=V")</f>
        <v>0</v>
      </c>
      <c r="AW2">
        <f>BDH("REKR US Equity","PX_VOLUME","1993-06-18","2026-05-02","Per=M","Days=T","Dir=V")</f>
        <v>0</v>
      </c>
      <c r="AY2">
        <f>BDH("REKR US Equity","TURNOVER","1993-06-18","2026-05-02","Per=M","Days=T","Dir=V")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BDH("RELL US Equity","BS_TOT_ASSET","1993-06-18","2026-05-02","Per=Y","Days=T","Dir=V")</f>
        <v>0</v>
      </c>
      <c r="C2">
        <f>BDH("RELL US Equity","BS_TOT_LIAB2","1993-06-18","2026-05-02","Per=Y","Days=T","Dir=V")</f>
        <v>0</v>
      </c>
      <c r="E2">
        <f>BDH("RELL US Equity","SHORT_AND_LONG_TERM_DEBT","1993-06-18","2026-05-02","Per=Y","Days=T","Dir=V")</f>
        <v>0</v>
      </c>
      <c r="G2">
        <f>BDH("RELL US Equity","BS_ST_BORROW","1993-06-18","2026-05-02","Per=Y","Days=T","Dir=V")</f>
        <v>0</v>
      </c>
      <c r="I2">
        <f>BDH("RELL US Equity","BS_LT_BORROW","1993-06-18","2026-05-02","Per=Y","Days=T","Dir=V")</f>
        <v>0</v>
      </c>
      <c r="K2">
        <f>BDH("RELL US Equity","BS_CASH_NEAR_CASH_ITEM","1993-06-18","2026-05-02","Per=Y","Days=T","Dir=V")</f>
        <v>0</v>
      </c>
      <c r="M2">
        <f>BDH("RELL US Equity","BS_CUR_ASSET_REPORT","1993-06-18","2026-05-02","Per=Y","Days=T","Dir=V")</f>
        <v>0</v>
      </c>
      <c r="O2">
        <f>BDH("RELL US Equity","BS_CUR_LIAB","1993-06-18","2026-05-02","Per=Y","Days=T","Dir=V")</f>
        <v>0</v>
      </c>
      <c r="Q2">
        <f>BDH("RELL US Equity","BS_SHAREHOLDER_EQY_ENDING_PERIOD","1993-06-18","2026-05-02","Per=Y","Days=T","Dir=V")</f>
        <v>0</v>
      </c>
      <c r="S2">
        <f>BDH("RELL US Equity","BS_ACCT_NOTE_RCV","1993-06-18","2026-05-02","Per=Y","Days=T","Dir=V")</f>
        <v>0</v>
      </c>
      <c r="U2">
        <f>BDH("RELL US Equity","BS_INVENTORIES","1993-06-18","2026-05-02","Per=Y","Days=T","Dir=V")</f>
        <v>0</v>
      </c>
      <c r="W2">
        <f>BDH("RELL US Equity","WORKING_CAPITAL","1993-06-18","2026-05-02","Per=Y","Days=T","Dir=V")</f>
        <v>0</v>
      </c>
      <c r="Y2">
        <f>BDH("RELL US Equity","SALES_REV_TURN","1993-06-18","2026-05-02","Per=Y","Days=T","Dir=V")</f>
        <v>0</v>
      </c>
      <c r="AA2">
        <f>BDH("RELL US Equity","EBIT","1993-06-18","2026-05-02","Per=Y","Days=T","Dir=V")</f>
        <v>0</v>
      </c>
      <c r="AC2">
        <f>BDH("RELL US Equity","EBITDA","1993-06-18","2026-05-02","Per=Y","Days=T","Dir=V")</f>
        <v>0</v>
      </c>
      <c r="AE2">
        <f>BDH("RELL US Equity","NET_INCOME","1993-06-18","2026-05-02","Per=Y","Days=T","Dir=V")</f>
        <v>0</v>
      </c>
      <c r="AG2">
        <f>BDH("RELL US Equity","IS_INT_EXPENSE","1993-06-18","2026-05-02","Per=Y","Days=T","Dir=V")</f>
        <v>0</v>
      </c>
      <c r="AI2">
        <f>BDH("RELL US Equity","IS_DEPR_EXP","1993-06-18","2026-05-02","Per=Y","Days=T","Dir=V")</f>
        <v>0</v>
      </c>
      <c r="AK2">
        <f>BDH("RELL US Equity","CF_CASH_FROM_OPER","1993-06-18","2026-05-02","Per=Y","Days=T","Dir=V")</f>
        <v>0</v>
      </c>
      <c r="AM2">
        <f>BDH("RELL US Equity","CAPITAL_EXPEND","1993-06-18","2026-05-02","Per=Y","Days=T","Dir=V")</f>
        <v>0</v>
      </c>
      <c r="AO2">
        <f>BDH("RELL US Equity","CF_FREE_CASH_FLOW","1993-06-18","2026-05-02","Per=Y","Days=T","Dir=V")</f>
        <v>0</v>
      </c>
      <c r="AQ2">
        <f>BDH("RELL US Equity","PX_LAST","1993-06-18","2026-05-02","Per=M","Days=T","Dir=V")</f>
        <v>0</v>
      </c>
      <c r="AS2">
        <f>BDH("RELL US Equity","CUR_MKT_CAP","1993-06-18","2026-05-02","Per=M","Days=T","Dir=V")</f>
        <v>0</v>
      </c>
      <c r="AU2">
        <f>BDH("RELL US Equity","EQY_SH_OUT","1993-06-18","2026-05-02","Per=M","Days=T","Dir=V")</f>
        <v>0</v>
      </c>
      <c r="AW2">
        <f>BDH("RELL US Equity","PX_VOLUME","1993-06-18","2026-05-02","Per=M","Days=T","Dir=V")</f>
        <v>0</v>
      </c>
      <c r="AY2">
        <f>BDH("RELL US Equity","TURNOVER","1993-06-18","2026-05-02","Per=M","Days=T","Dir=V")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BDH("RELY US Equity","BS_TOT_ASSET","1993-06-18","2026-05-02","Per=Y","Days=T","Dir=V")</f>
        <v>0</v>
      </c>
      <c r="C2">
        <f>BDH("RELY US Equity","BS_TOT_LIAB2","1993-06-18","2026-05-02","Per=Y","Days=T","Dir=V")</f>
        <v>0</v>
      </c>
      <c r="E2">
        <f>BDH("RELY US Equity","SHORT_AND_LONG_TERM_DEBT","1993-06-18","2026-05-02","Per=Y","Days=T","Dir=V")</f>
        <v>0</v>
      </c>
      <c r="G2">
        <f>BDH("RELY US Equity","BS_ST_BORROW","1993-06-18","2026-05-02","Per=Y","Days=T","Dir=V")</f>
        <v>0</v>
      </c>
      <c r="I2">
        <f>BDH("RELY US Equity","BS_LT_BORROW","1993-06-18","2026-05-02","Per=Y","Days=T","Dir=V")</f>
        <v>0</v>
      </c>
      <c r="K2">
        <f>BDH("RELY US Equity","BS_CASH_NEAR_CASH_ITEM","1993-06-18","2026-05-02","Per=Y","Days=T","Dir=V")</f>
        <v>0</v>
      </c>
      <c r="M2">
        <f>BDH("RELY US Equity","BS_CUR_ASSET_REPORT","1993-06-18","2026-05-02","Per=Y","Days=T","Dir=V")</f>
        <v>0</v>
      </c>
      <c r="O2">
        <f>BDH("RELY US Equity","BS_CUR_LIAB","1993-06-18","2026-05-02","Per=Y","Days=T","Dir=V")</f>
        <v>0</v>
      </c>
      <c r="Q2">
        <f>BDH("RELY US Equity","BS_SHAREHOLDER_EQY_ENDING_PERIOD","1993-06-18","2026-05-02","Per=Y","Days=T","Dir=V")</f>
        <v>0</v>
      </c>
      <c r="S2">
        <f>BDH("RELY US Equity","BS_ACCT_NOTE_RCV","1993-06-18","2026-05-02","Per=Y","Days=T","Dir=V")</f>
        <v>0</v>
      </c>
      <c r="U2">
        <f>BDH("RELY US Equity","BS_INVENTORIES","1993-06-18","2026-05-02","Per=Y","Days=T","Dir=V")</f>
        <v>0</v>
      </c>
      <c r="W2">
        <f>BDH("RELY US Equity","WORKING_CAPITAL","1993-06-18","2026-05-02","Per=Y","Days=T","Dir=V")</f>
        <v>0</v>
      </c>
      <c r="Y2">
        <f>BDH("RELY US Equity","SALES_REV_TURN","1993-06-18","2026-05-02","Per=Y","Days=T","Dir=V")</f>
        <v>0</v>
      </c>
      <c r="AA2">
        <f>BDH("RELY US Equity","EBIT","1993-06-18","2026-05-02","Per=Y","Days=T","Dir=V")</f>
        <v>0</v>
      </c>
      <c r="AC2">
        <f>BDH("RELY US Equity","EBITDA","1993-06-18","2026-05-02","Per=Y","Days=T","Dir=V")</f>
        <v>0</v>
      </c>
      <c r="AE2">
        <f>BDH("RELY US Equity","NET_INCOME","1993-06-18","2026-05-02","Per=Y","Days=T","Dir=V")</f>
        <v>0</v>
      </c>
      <c r="AG2">
        <f>BDH("RELY US Equity","IS_INT_EXPENSE","1993-06-18","2026-05-02","Per=Y","Days=T","Dir=V")</f>
        <v>0</v>
      </c>
      <c r="AI2">
        <f>BDH("RELY US Equity","IS_DEPR_EXP","1993-06-18","2026-05-02","Per=Y","Days=T","Dir=V")</f>
        <v>0</v>
      </c>
      <c r="AK2">
        <f>BDH("RELY US Equity","CF_CASH_FROM_OPER","1993-06-18","2026-05-02","Per=Y","Days=T","Dir=V")</f>
        <v>0</v>
      </c>
      <c r="AM2">
        <f>BDH("RELY US Equity","CAPITAL_EXPEND","1993-06-18","2026-05-02","Per=Y","Days=T","Dir=V")</f>
        <v>0</v>
      </c>
      <c r="AO2">
        <f>BDH("RELY US Equity","CF_FREE_CASH_FLOW","1993-06-18","2026-05-02","Per=Y","Days=T","Dir=V")</f>
        <v>0</v>
      </c>
      <c r="AQ2">
        <f>BDH("RELY US Equity","PX_LAST","1993-06-18","2026-05-02","Per=M","Days=T","Dir=V")</f>
        <v>0</v>
      </c>
      <c r="AS2">
        <f>BDH("RELY US Equity","CUR_MKT_CAP","1993-06-18","2026-05-02","Per=M","Days=T","Dir=V")</f>
        <v>0</v>
      </c>
      <c r="AU2">
        <f>BDH("RELY US Equity","EQY_SH_OUT","1993-06-18","2026-05-02","Per=M","Days=T","Dir=V")</f>
        <v>0</v>
      </c>
      <c r="AW2">
        <f>BDH("RELY US Equity","PX_VOLUME","1993-06-18","2026-05-02","Per=M","Days=T","Dir=V")</f>
        <v>0</v>
      </c>
      <c r="AY2">
        <f>BDH("RELY US Equity","TURNOVER","1993-06-18","2026-05-02","Per=M","Days=T","Dir=V")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BDH("RENT US Equity","BS_TOT_ASSET","1993-06-18","2026-05-02","Per=Y","Days=T","Dir=V")</f>
        <v>0</v>
      </c>
      <c r="C2">
        <f>BDH("RENT US Equity","BS_TOT_LIAB2","1993-06-18","2026-05-02","Per=Y","Days=T","Dir=V")</f>
        <v>0</v>
      </c>
      <c r="E2">
        <f>BDH("RENT US Equity","SHORT_AND_LONG_TERM_DEBT","1993-06-18","2026-05-02","Per=Y","Days=T","Dir=V")</f>
        <v>0</v>
      </c>
      <c r="G2">
        <f>BDH("RENT US Equity","BS_ST_BORROW","1993-06-18","2026-05-02","Per=Y","Days=T","Dir=V")</f>
        <v>0</v>
      </c>
      <c r="I2">
        <f>BDH("RENT US Equity","BS_LT_BORROW","1993-06-18","2026-05-02","Per=Y","Days=T","Dir=V")</f>
        <v>0</v>
      </c>
      <c r="K2">
        <f>BDH("RENT US Equity","BS_CASH_NEAR_CASH_ITEM","1993-06-18","2026-05-02","Per=Y","Days=T","Dir=V")</f>
        <v>0</v>
      </c>
      <c r="M2">
        <f>BDH("RENT US Equity","BS_CUR_ASSET_REPORT","1993-06-18","2026-05-02","Per=Y","Days=T","Dir=V")</f>
        <v>0</v>
      </c>
      <c r="O2">
        <f>BDH("RENT US Equity","BS_CUR_LIAB","1993-06-18","2026-05-02","Per=Y","Days=T","Dir=V")</f>
        <v>0</v>
      </c>
      <c r="Q2">
        <f>BDH("RENT US Equity","BS_SHAREHOLDER_EQY_ENDING_PERIOD","1993-06-18","2026-05-02","Per=Y","Days=T","Dir=V")</f>
        <v>0</v>
      </c>
      <c r="S2">
        <f>BDH("RENT US Equity","BS_ACCT_NOTE_RCV","1993-06-18","2026-05-02","Per=Y","Days=T","Dir=V")</f>
        <v>0</v>
      </c>
      <c r="U2">
        <f>BDH("RENT US Equity","BS_INVENTORIES","1993-06-18","2026-05-02","Per=Y","Days=T","Dir=V")</f>
        <v>0</v>
      </c>
      <c r="W2">
        <f>BDH("RENT US Equity","WORKING_CAPITAL","1993-06-18","2026-05-02","Per=Y","Days=T","Dir=V")</f>
        <v>0</v>
      </c>
      <c r="Y2">
        <f>BDH("RENT US Equity","SALES_REV_TURN","1993-06-18","2026-05-02","Per=Y","Days=T","Dir=V")</f>
        <v>0</v>
      </c>
      <c r="AA2">
        <f>BDH("RENT US Equity","EBIT","1993-06-18","2026-05-02","Per=Y","Days=T","Dir=V")</f>
        <v>0</v>
      </c>
      <c r="AC2">
        <f>BDH("RENT US Equity","EBITDA","1993-06-18","2026-05-02","Per=Y","Days=T","Dir=V")</f>
        <v>0</v>
      </c>
      <c r="AE2">
        <f>BDH("RENT US Equity","NET_INCOME","1993-06-18","2026-05-02","Per=Y","Days=T","Dir=V")</f>
        <v>0</v>
      </c>
      <c r="AG2">
        <f>BDH("RENT US Equity","IS_INT_EXPENSE","1993-06-18","2026-05-02","Per=Y","Days=T","Dir=V")</f>
        <v>0</v>
      </c>
      <c r="AI2">
        <f>BDH("RENT US Equity","IS_DEPR_EXP","1993-06-18","2026-05-02","Per=Y","Days=T","Dir=V")</f>
        <v>0</v>
      </c>
      <c r="AK2">
        <f>BDH("RENT US Equity","CF_CASH_FROM_OPER","1993-06-18","2026-05-02","Per=Y","Days=T","Dir=V")</f>
        <v>0</v>
      </c>
      <c r="AM2">
        <f>BDH("RENT US Equity","CAPITAL_EXPEND","1993-06-18","2026-05-02","Per=Y","Days=T","Dir=V")</f>
        <v>0</v>
      </c>
      <c r="AO2">
        <f>BDH("RENT US Equity","CF_FREE_CASH_FLOW","1993-06-18","2026-05-02","Per=Y","Days=T","Dir=V")</f>
        <v>0</v>
      </c>
      <c r="AQ2">
        <f>BDH("RENT US Equity","PX_LAST","1993-06-18","2026-05-02","Per=M","Days=T","Dir=V")</f>
        <v>0</v>
      </c>
      <c r="AS2">
        <f>BDH("RENT US Equity","CUR_MKT_CAP","1993-06-18","2026-05-02","Per=M","Days=T","Dir=V")</f>
        <v>0</v>
      </c>
      <c r="AU2">
        <f>BDH("RENT US Equity","EQY_SH_OUT","1993-06-18","2026-05-02","Per=M","Days=T","Dir=V")</f>
        <v>0</v>
      </c>
      <c r="AW2">
        <f>BDH("RENT US Equity","PX_VOLUME","1993-06-18","2026-05-02","Per=M","Days=T","Dir=V")</f>
        <v>0</v>
      </c>
      <c r="AY2">
        <f>BDH("RENT US Equity","TURNOVER","1993-06-18","2026-05-02","Per=M","Days=T","Dir=V")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BDH("RENX US Equity","BS_TOT_ASSET","1993-06-18","2026-05-02","Per=Y","Days=T","Dir=V")</f>
        <v>0</v>
      </c>
      <c r="C2">
        <f>BDH("RENX US Equity","BS_TOT_LIAB2","1993-06-18","2026-05-02","Per=Y","Days=T","Dir=V")</f>
        <v>0</v>
      </c>
      <c r="E2">
        <f>BDH("RENX US Equity","SHORT_AND_LONG_TERM_DEBT","1993-06-18","2026-05-02","Per=Y","Days=T","Dir=V")</f>
        <v>0</v>
      </c>
      <c r="G2">
        <f>BDH("RENX US Equity","BS_ST_BORROW","1993-06-18","2026-05-02","Per=Y","Days=T","Dir=V")</f>
        <v>0</v>
      </c>
      <c r="I2">
        <f>BDH("RENX US Equity","BS_LT_BORROW","1993-06-18","2026-05-02","Per=Y","Days=T","Dir=V")</f>
        <v>0</v>
      </c>
      <c r="K2">
        <f>BDH("RENX US Equity","BS_CASH_NEAR_CASH_ITEM","1993-06-18","2026-05-02","Per=Y","Days=T","Dir=V")</f>
        <v>0</v>
      </c>
      <c r="M2">
        <f>BDH("RENX US Equity","BS_CUR_ASSET_REPORT","1993-06-18","2026-05-02","Per=Y","Days=T","Dir=V")</f>
        <v>0</v>
      </c>
      <c r="O2">
        <f>BDH("RENX US Equity","BS_CUR_LIAB","1993-06-18","2026-05-02","Per=Y","Days=T","Dir=V")</f>
        <v>0</v>
      </c>
      <c r="Q2">
        <f>BDH("RENX US Equity","BS_SHAREHOLDER_EQY_ENDING_PERIOD","1993-06-18","2026-05-02","Per=Y","Days=T","Dir=V")</f>
        <v>0</v>
      </c>
      <c r="S2">
        <f>BDH("RENX US Equity","BS_ACCT_NOTE_RCV","1993-06-18","2026-05-02","Per=Y","Days=T","Dir=V")</f>
        <v>0</v>
      </c>
      <c r="U2">
        <f>BDH("RENX US Equity","BS_INVENTORIES","1993-06-18","2026-05-02","Per=Y","Days=T","Dir=V")</f>
        <v>0</v>
      </c>
      <c r="W2">
        <f>BDH("RENX US Equity","WORKING_CAPITAL","1993-06-18","2026-05-02","Per=Y","Days=T","Dir=V")</f>
        <v>0</v>
      </c>
      <c r="Y2">
        <f>BDH("RENX US Equity","SALES_REV_TURN","1993-06-18","2026-05-02","Per=Y","Days=T","Dir=V")</f>
        <v>0</v>
      </c>
      <c r="AA2">
        <f>BDH("RENX US Equity","EBIT","1993-06-18","2026-05-02","Per=Y","Days=T","Dir=V")</f>
        <v>0</v>
      </c>
      <c r="AC2">
        <f>BDH("RENX US Equity","EBITDA","1993-06-18","2026-05-02","Per=Y","Days=T","Dir=V")</f>
        <v>0</v>
      </c>
      <c r="AE2">
        <f>BDH("RENX US Equity","NET_INCOME","1993-06-18","2026-05-02","Per=Y","Days=T","Dir=V")</f>
        <v>0</v>
      </c>
      <c r="AG2">
        <f>BDH("RENX US Equity","IS_INT_EXPENSE","1993-06-18","2026-05-02","Per=Y","Days=T","Dir=V")</f>
        <v>0</v>
      </c>
      <c r="AI2">
        <f>BDH("RENX US Equity","IS_DEPR_EXP","1993-06-18","2026-05-02","Per=Y","Days=T","Dir=V")</f>
        <v>0</v>
      </c>
      <c r="AK2">
        <f>BDH("RENX US Equity","CF_CASH_FROM_OPER","1993-06-18","2026-05-02","Per=Y","Days=T","Dir=V")</f>
        <v>0</v>
      </c>
      <c r="AM2">
        <f>BDH("RENX US Equity","CAPITAL_EXPEND","1993-06-18","2026-05-02","Per=Y","Days=T","Dir=V")</f>
        <v>0</v>
      </c>
      <c r="AO2">
        <f>BDH("RENX US Equity","CF_FREE_CASH_FLOW","1993-06-18","2026-05-02","Per=Y","Days=T","Dir=V")</f>
        <v>0</v>
      </c>
      <c r="AQ2">
        <f>BDH("RENX US Equity","PX_LAST","1993-06-18","2026-05-02","Per=M","Days=T","Dir=V")</f>
        <v>0</v>
      </c>
      <c r="AS2">
        <f>BDH("RENX US Equity","CUR_MKT_CAP","1993-06-18","2026-05-02","Per=M","Days=T","Dir=V")</f>
        <v>0</v>
      </c>
      <c r="AU2">
        <f>BDH("RENX US Equity","EQY_SH_OUT","1993-06-18","2026-05-02","Per=M","Days=T","Dir=V")</f>
        <v>0</v>
      </c>
      <c r="AW2">
        <f>BDH("RENX US Equity","PX_VOLUME","1993-06-18","2026-05-02","Per=M","Days=T","Dir=V")</f>
        <v>0</v>
      </c>
      <c r="AY2">
        <f>BDH("RENX US Equity","TURNOVER","1993-06-18","2026-05-02","Per=M","Days=T","Dir=V")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BDH("REPL US Equity","BS_TOT_ASSET","1993-06-18","2026-05-02","Per=Y","Days=T","Dir=V")</f>
        <v>0</v>
      </c>
      <c r="C2">
        <f>BDH("REPL US Equity","BS_TOT_LIAB2","1993-06-18","2026-05-02","Per=Y","Days=T","Dir=V")</f>
        <v>0</v>
      </c>
      <c r="E2">
        <f>BDH("REPL US Equity","SHORT_AND_LONG_TERM_DEBT","1993-06-18","2026-05-02","Per=Y","Days=T","Dir=V")</f>
        <v>0</v>
      </c>
      <c r="G2">
        <f>BDH("REPL US Equity","BS_ST_BORROW","1993-06-18","2026-05-02","Per=Y","Days=T","Dir=V")</f>
        <v>0</v>
      </c>
      <c r="I2">
        <f>BDH("REPL US Equity","BS_LT_BORROW","1993-06-18","2026-05-02","Per=Y","Days=T","Dir=V")</f>
        <v>0</v>
      </c>
      <c r="K2">
        <f>BDH("REPL US Equity","BS_CASH_NEAR_CASH_ITEM","1993-06-18","2026-05-02","Per=Y","Days=T","Dir=V")</f>
        <v>0</v>
      </c>
      <c r="M2">
        <f>BDH("REPL US Equity","BS_CUR_ASSET_REPORT","1993-06-18","2026-05-02","Per=Y","Days=T","Dir=V")</f>
        <v>0</v>
      </c>
      <c r="O2">
        <f>BDH("REPL US Equity","BS_CUR_LIAB","1993-06-18","2026-05-02","Per=Y","Days=T","Dir=V")</f>
        <v>0</v>
      </c>
      <c r="Q2">
        <f>BDH("REPL US Equity","BS_SHAREHOLDER_EQY_ENDING_PERIOD","1993-06-18","2026-05-02","Per=Y","Days=T","Dir=V")</f>
        <v>0</v>
      </c>
      <c r="S2">
        <f>BDH("REPL US Equity","BS_ACCT_NOTE_RCV","1993-06-18","2026-05-02","Per=Y","Days=T","Dir=V")</f>
        <v>0</v>
      </c>
      <c r="U2">
        <f>BDH("REPL US Equity","BS_INVENTORIES","1993-06-18","2026-05-02","Per=Y","Days=T","Dir=V")</f>
        <v>0</v>
      </c>
      <c r="W2">
        <f>BDH("REPL US Equity","WORKING_CAPITAL","1993-06-18","2026-05-02","Per=Y","Days=T","Dir=V")</f>
        <v>0</v>
      </c>
      <c r="Y2">
        <f>BDH("REPL US Equity","SALES_REV_TURN","1993-06-18","2026-05-02","Per=Y","Days=T","Dir=V")</f>
        <v>0</v>
      </c>
      <c r="AA2">
        <f>BDH("REPL US Equity","EBIT","1993-06-18","2026-05-02","Per=Y","Days=T","Dir=V")</f>
        <v>0</v>
      </c>
      <c r="AC2">
        <f>BDH("REPL US Equity","EBITDA","1993-06-18","2026-05-02","Per=Y","Days=T","Dir=V")</f>
        <v>0</v>
      </c>
      <c r="AE2">
        <f>BDH("REPL US Equity","NET_INCOME","1993-06-18","2026-05-02","Per=Y","Days=T","Dir=V")</f>
        <v>0</v>
      </c>
      <c r="AG2">
        <f>BDH("REPL US Equity","IS_INT_EXPENSE","1993-06-18","2026-05-02","Per=Y","Days=T","Dir=V")</f>
        <v>0</v>
      </c>
      <c r="AI2">
        <f>BDH("REPL US Equity","IS_DEPR_EXP","1993-06-18","2026-05-02","Per=Y","Days=T","Dir=V")</f>
        <v>0</v>
      </c>
      <c r="AK2">
        <f>BDH("REPL US Equity","CF_CASH_FROM_OPER","1993-06-18","2026-05-02","Per=Y","Days=T","Dir=V")</f>
        <v>0</v>
      </c>
      <c r="AM2">
        <f>BDH("REPL US Equity","CAPITAL_EXPEND","1993-06-18","2026-05-02","Per=Y","Days=T","Dir=V")</f>
        <v>0</v>
      </c>
      <c r="AO2">
        <f>BDH("REPL US Equity","CF_FREE_CASH_FLOW","1993-06-18","2026-05-02","Per=Y","Days=T","Dir=V")</f>
        <v>0</v>
      </c>
      <c r="AQ2">
        <f>BDH("REPL US Equity","PX_LAST","1993-06-18","2026-05-02","Per=M","Days=T","Dir=V")</f>
        <v>0</v>
      </c>
      <c r="AS2">
        <f>BDH("REPL US Equity","CUR_MKT_CAP","1993-06-18","2026-05-02","Per=M","Days=T","Dir=V")</f>
        <v>0</v>
      </c>
      <c r="AU2">
        <f>BDH("REPL US Equity","EQY_SH_OUT","1993-06-18","2026-05-02","Per=M","Days=T","Dir=V")</f>
        <v>0</v>
      </c>
      <c r="AW2">
        <f>BDH("REPL US Equity","PX_VOLUME","1993-06-18","2026-05-02","Per=M","Days=T","Dir=V")</f>
        <v>0</v>
      </c>
      <c r="AY2">
        <f>BDH("REPL US Equity","TURNOVER","1993-06-18","2026-05-02","Per=M","Days=T","Dir=V")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BDH("REPX US Equity","BS_TOT_ASSET","1993-06-18","2026-05-02","Per=Y","Days=T","Dir=V")</f>
        <v>0</v>
      </c>
      <c r="C2">
        <f>BDH("REPX US Equity","BS_TOT_LIAB2","1993-06-18","2026-05-02","Per=Y","Days=T","Dir=V")</f>
        <v>0</v>
      </c>
      <c r="E2">
        <f>BDH("REPX US Equity","SHORT_AND_LONG_TERM_DEBT","1993-06-18","2026-05-02","Per=Y","Days=T","Dir=V")</f>
        <v>0</v>
      </c>
      <c r="G2">
        <f>BDH("REPX US Equity","BS_ST_BORROW","1993-06-18","2026-05-02","Per=Y","Days=T","Dir=V")</f>
        <v>0</v>
      </c>
      <c r="I2">
        <f>BDH("REPX US Equity","BS_LT_BORROW","1993-06-18","2026-05-02","Per=Y","Days=T","Dir=V")</f>
        <v>0</v>
      </c>
      <c r="K2">
        <f>BDH("REPX US Equity","BS_CASH_NEAR_CASH_ITEM","1993-06-18","2026-05-02","Per=Y","Days=T","Dir=V")</f>
        <v>0</v>
      </c>
      <c r="M2">
        <f>BDH("REPX US Equity","BS_CUR_ASSET_REPORT","1993-06-18","2026-05-02","Per=Y","Days=T","Dir=V")</f>
        <v>0</v>
      </c>
      <c r="O2">
        <f>BDH("REPX US Equity","BS_CUR_LIAB","1993-06-18","2026-05-02","Per=Y","Days=T","Dir=V")</f>
        <v>0</v>
      </c>
      <c r="Q2">
        <f>BDH("REPX US Equity","BS_SHAREHOLDER_EQY_ENDING_PERIOD","1993-06-18","2026-05-02","Per=Y","Days=T","Dir=V")</f>
        <v>0</v>
      </c>
      <c r="S2">
        <f>BDH("REPX US Equity","BS_ACCT_NOTE_RCV","1993-06-18","2026-05-02","Per=Y","Days=T","Dir=V")</f>
        <v>0</v>
      </c>
      <c r="U2">
        <f>BDH("REPX US Equity","BS_INVENTORIES","1993-06-18","2026-05-02","Per=Y","Days=T","Dir=V")</f>
        <v>0</v>
      </c>
      <c r="W2">
        <f>BDH("REPX US Equity","WORKING_CAPITAL","1993-06-18","2026-05-02","Per=Y","Days=T","Dir=V")</f>
        <v>0</v>
      </c>
      <c r="Y2">
        <f>BDH("REPX US Equity","SALES_REV_TURN","1993-06-18","2026-05-02","Per=Y","Days=T","Dir=V")</f>
        <v>0</v>
      </c>
      <c r="AA2">
        <f>BDH("REPX US Equity","EBIT","1993-06-18","2026-05-02","Per=Y","Days=T","Dir=V")</f>
        <v>0</v>
      </c>
      <c r="AC2">
        <f>BDH("REPX US Equity","EBITDA","1993-06-18","2026-05-02","Per=Y","Days=T","Dir=V")</f>
        <v>0</v>
      </c>
      <c r="AE2">
        <f>BDH("REPX US Equity","NET_INCOME","1993-06-18","2026-05-02","Per=Y","Days=T","Dir=V")</f>
        <v>0</v>
      </c>
      <c r="AG2">
        <f>BDH("REPX US Equity","IS_INT_EXPENSE","1993-06-18","2026-05-02","Per=Y","Days=T","Dir=V")</f>
        <v>0</v>
      </c>
      <c r="AI2">
        <f>BDH("REPX US Equity","IS_DEPR_EXP","1993-06-18","2026-05-02","Per=Y","Days=T","Dir=V")</f>
        <v>0</v>
      </c>
      <c r="AK2">
        <f>BDH("REPX US Equity","CF_CASH_FROM_OPER","1993-06-18","2026-05-02","Per=Y","Days=T","Dir=V")</f>
        <v>0</v>
      </c>
      <c r="AM2">
        <f>BDH("REPX US Equity","CAPITAL_EXPEND","1993-06-18","2026-05-02","Per=Y","Days=T","Dir=V")</f>
        <v>0</v>
      </c>
      <c r="AO2">
        <f>BDH("REPX US Equity","CF_FREE_CASH_FLOW","1993-06-18","2026-05-02","Per=Y","Days=T","Dir=V")</f>
        <v>0</v>
      </c>
      <c r="AQ2">
        <f>BDH("REPX US Equity","PX_LAST","1993-06-18","2026-05-02","Per=M","Days=T","Dir=V")</f>
        <v>0</v>
      </c>
      <c r="AS2">
        <f>BDH("REPX US Equity","CUR_MKT_CAP","1993-06-18","2026-05-02","Per=M","Days=T","Dir=V")</f>
        <v>0</v>
      </c>
      <c r="AU2">
        <f>BDH("REPX US Equity","EQY_SH_OUT","1993-06-18","2026-05-02","Per=M","Days=T","Dir=V")</f>
        <v>0</v>
      </c>
      <c r="AW2">
        <f>BDH("REPX US Equity","PX_VOLUME","1993-06-18","2026-05-02","Per=M","Days=T","Dir=V")</f>
        <v>0</v>
      </c>
      <c r="AY2">
        <f>BDH("REPX US Equity","TURNOVER","1993-06-18","2026-05-02","Per=M","Days=T","Dir=V")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BDH("RES US Equity","BS_TOT_ASSET","1993-06-18","2026-05-02","Per=Y","Days=T","Dir=V")</f>
        <v>0</v>
      </c>
      <c r="C2">
        <f>BDH("RES US Equity","BS_TOT_LIAB2","1993-06-18","2026-05-02","Per=Y","Days=T","Dir=V")</f>
        <v>0</v>
      </c>
      <c r="E2">
        <f>BDH("RES US Equity","SHORT_AND_LONG_TERM_DEBT","1993-06-18","2026-05-02","Per=Y","Days=T","Dir=V")</f>
        <v>0</v>
      </c>
      <c r="G2">
        <f>BDH("RES US Equity","BS_ST_BORROW","1993-06-18","2026-05-02","Per=Y","Days=T","Dir=V")</f>
        <v>0</v>
      </c>
      <c r="I2">
        <f>BDH("RES US Equity","BS_LT_BORROW","1993-06-18","2026-05-02","Per=Y","Days=T","Dir=V")</f>
        <v>0</v>
      </c>
      <c r="K2">
        <f>BDH("RES US Equity","BS_CASH_NEAR_CASH_ITEM","1993-06-18","2026-05-02","Per=Y","Days=T","Dir=V")</f>
        <v>0</v>
      </c>
      <c r="M2">
        <f>BDH("RES US Equity","BS_CUR_ASSET_REPORT","1993-06-18","2026-05-02","Per=Y","Days=T","Dir=V")</f>
        <v>0</v>
      </c>
      <c r="O2">
        <f>BDH("RES US Equity","BS_CUR_LIAB","1993-06-18","2026-05-02","Per=Y","Days=T","Dir=V")</f>
        <v>0</v>
      </c>
      <c r="Q2">
        <f>BDH("RES US Equity","BS_SHAREHOLDER_EQY_ENDING_PERIOD","1993-06-18","2026-05-02","Per=Y","Days=T","Dir=V")</f>
        <v>0</v>
      </c>
      <c r="S2">
        <f>BDH("RES US Equity","BS_ACCT_NOTE_RCV","1993-06-18","2026-05-02","Per=Y","Days=T","Dir=V")</f>
        <v>0</v>
      </c>
      <c r="U2">
        <f>BDH("RES US Equity","BS_INVENTORIES","1993-06-18","2026-05-02","Per=Y","Days=T","Dir=V")</f>
        <v>0</v>
      </c>
      <c r="W2">
        <f>BDH("RES US Equity","WORKING_CAPITAL","1993-06-18","2026-05-02","Per=Y","Days=T","Dir=V")</f>
        <v>0</v>
      </c>
      <c r="Y2">
        <f>BDH("RES US Equity","SALES_REV_TURN","1993-06-18","2026-05-02","Per=Y","Days=T","Dir=V")</f>
        <v>0</v>
      </c>
      <c r="AA2">
        <f>BDH("RES US Equity","EBIT","1993-06-18","2026-05-02","Per=Y","Days=T","Dir=V")</f>
        <v>0</v>
      </c>
      <c r="AC2">
        <f>BDH("RES US Equity","EBITDA","1993-06-18","2026-05-02","Per=Y","Days=T","Dir=V")</f>
        <v>0</v>
      </c>
      <c r="AE2">
        <f>BDH("RES US Equity","NET_INCOME","1993-06-18","2026-05-02","Per=Y","Days=T","Dir=V")</f>
        <v>0</v>
      </c>
      <c r="AG2">
        <f>BDH("RES US Equity","IS_INT_EXPENSE","1993-06-18","2026-05-02","Per=Y","Days=T","Dir=V")</f>
        <v>0</v>
      </c>
      <c r="AI2">
        <f>BDH("RES US Equity","IS_DEPR_EXP","1993-06-18","2026-05-02","Per=Y","Days=T","Dir=V")</f>
        <v>0</v>
      </c>
      <c r="AK2">
        <f>BDH("RES US Equity","CF_CASH_FROM_OPER","1993-06-18","2026-05-02","Per=Y","Days=T","Dir=V")</f>
        <v>0</v>
      </c>
      <c r="AM2">
        <f>BDH("RES US Equity","CAPITAL_EXPEND","1993-06-18","2026-05-02","Per=Y","Days=T","Dir=V")</f>
        <v>0</v>
      </c>
      <c r="AO2">
        <f>BDH("RES US Equity","CF_FREE_CASH_FLOW","1993-06-18","2026-05-02","Per=Y","Days=T","Dir=V")</f>
        <v>0</v>
      </c>
      <c r="AQ2">
        <f>BDH("RES US Equity","PX_LAST","1993-06-18","2026-05-02","Per=M","Days=T","Dir=V")</f>
        <v>0</v>
      </c>
      <c r="AS2">
        <f>BDH("RES US Equity","CUR_MKT_CAP","1993-06-18","2026-05-02","Per=M","Days=T","Dir=V")</f>
        <v>0</v>
      </c>
      <c r="AU2">
        <f>BDH("RES US Equity","EQY_SH_OUT","1993-06-18","2026-05-02","Per=M","Days=T","Dir=V")</f>
        <v>0</v>
      </c>
      <c r="AW2">
        <f>BDH("RES US Equity","PX_VOLUME","1993-06-18","2026-05-02","Per=M","Days=T","Dir=V")</f>
        <v>0</v>
      </c>
      <c r="AY2">
        <f>BDH("RES US Equity","TURNOVER","1993-06-18","2026-05-02","Per=M","Days=T","Dir=V")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BDH("REVB US Equity","BS_TOT_ASSET","1993-06-18","2026-05-02","Per=Y","Days=T","Dir=V")</f>
        <v>0</v>
      </c>
      <c r="C2">
        <f>BDH("REVB US Equity","BS_TOT_LIAB2","1993-06-18","2026-05-02","Per=Y","Days=T","Dir=V")</f>
        <v>0</v>
      </c>
      <c r="E2">
        <f>BDH("REVB US Equity","SHORT_AND_LONG_TERM_DEBT","1993-06-18","2026-05-02","Per=Y","Days=T","Dir=V")</f>
        <v>0</v>
      </c>
      <c r="G2">
        <f>BDH("REVB US Equity","BS_ST_BORROW","1993-06-18","2026-05-02","Per=Y","Days=T","Dir=V")</f>
        <v>0</v>
      </c>
      <c r="I2">
        <f>BDH("REVB US Equity","BS_LT_BORROW","1993-06-18","2026-05-02","Per=Y","Days=T","Dir=V")</f>
        <v>0</v>
      </c>
      <c r="K2">
        <f>BDH("REVB US Equity","BS_CASH_NEAR_CASH_ITEM","1993-06-18","2026-05-02","Per=Y","Days=T","Dir=V")</f>
        <v>0</v>
      </c>
      <c r="M2">
        <f>BDH("REVB US Equity","BS_CUR_ASSET_REPORT","1993-06-18","2026-05-02","Per=Y","Days=T","Dir=V")</f>
        <v>0</v>
      </c>
      <c r="O2">
        <f>BDH("REVB US Equity","BS_CUR_LIAB","1993-06-18","2026-05-02","Per=Y","Days=T","Dir=V")</f>
        <v>0</v>
      </c>
      <c r="Q2">
        <f>BDH("REVB US Equity","BS_SHAREHOLDER_EQY_ENDING_PERIOD","1993-06-18","2026-05-02","Per=Y","Days=T","Dir=V")</f>
        <v>0</v>
      </c>
      <c r="S2">
        <f>BDH("REVB US Equity","BS_ACCT_NOTE_RCV","1993-06-18","2026-05-02","Per=Y","Days=T","Dir=V")</f>
        <v>0</v>
      </c>
      <c r="U2">
        <f>BDH("REVB US Equity","BS_INVENTORIES","1993-06-18","2026-05-02","Per=Y","Days=T","Dir=V")</f>
        <v>0</v>
      </c>
      <c r="W2">
        <f>BDH("REVB US Equity","WORKING_CAPITAL","1993-06-18","2026-05-02","Per=Y","Days=T","Dir=V")</f>
        <v>0</v>
      </c>
      <c r="Y2">
        <f>BDH("REVB US Equity","SALES_REV_TURN","1993-06-18","2026-05-02","Per=Y","Days=T","Dir=V")</f>
        <v>0</v>
      </c>
      <c r="AA2">
        <f>BDH("REVB US Equity","EBIT","1993-06-18","2026-05-02","Per=Y","Days=T","Dir=V")</f>
        <v>0</v>
      </c>
      <c r="AC2">
        <f>BDH("REVB US Equity","EBITDA","1993-06-18","2026-05-02","Per=Y","Days=T","Dir=V")</f>
        <v>0</v>
      </c>
      <c r="AE2">
        <f>BDH("REVB US Equity","NET_INCOME","1993-06-18","2026-05-02","Per=Y","Days=T","Dir=V")</f>
        <v>0</v>
      </c>
      <c r="AG2">
        <f>BDH("REVB US Equity","IS_INT_EXPENSE","1993-06-18","2026-05-02","Per=Y","Days=T","Dir=V")</f>
        <v>0</v>
      </c>
      <c r="AI2">
        <f>BDH("REVB US Equity","IS_DEPR_EXP","1993-06-18","2026-05-02","Per=Y","Days=T","Dir=V")</f>
        <v>0</v>
      </c>
      <c r="AK2">
        <f>BDH("REVB US Equity","CF_CASH_FROM_OPER","1993-06-18","2026-05-02","Per=Y","Days=T","Dir=V")</f>
        <v>0</v>
      </c>
      <c r="AM2">
        <f>BDH("REVB US Equity","CAPITAL_EXPEND","1993-06-18","2026-05-02","Per=Y","Days=T","Dir=V")</f>
        <v>0</v>
      </c>
      <c r="AO2">
        <f>BDH("REVB US Equity","CF_FREE_CASH_FLOW","1993-06-18","2026-05-02","Per=Y","Days=T","Dir=V")</f>
        <v>0</v>
      </c>
      <c r="AQ2">
        <f>BDH("REVB US Equity","PX_LAST","1993-06-18","2026-05-02","Per=M","Days=T","Dir=V")</f>
        <v>0</v>
      </c>
      <c r="AS2">
        <f>BDH("REVB US Equity","CUR_MKT_CAP","1993-06-18","2026-05-02","Per=M","Days=T","Dir=V")</f>
        <v>0</v>
      </c>
      <c r="AU2">
        <f>BDH("REVB US Equity","EQY_SH_OUT","1993-06-18","2026-05-02","Per=M","Days=T","Dir=V")</f>
        <v>0</v>
      </c>
      <c r="AW2">
        <f>BDH("REVB US Equity","PX_VOLUME","1993-06-18","2026-05-02","Per=M","Days=T","Dir=V")</f>
        <v>0</v>
      </c>
      <c r="AY2">
        <f>BDH("REVB US Equity","TURNOVER","1993-06-18","2026-05-02","Per=M","Days=T","Dir=V")</f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BDH("REVBW US Equity","BS_TOT_ASSET","1993-06-18","2026-05-02","Per=Y","Days=T","Dir=V")</f>
        <v>0</v>
      </c>
      <c r="C2">
        <f>BDH("REVBW US Equity","BS_TOT_LIAB2","1993-06-18","2026-05-02","Per=Y","Days=T","Dir=V")</f>
        <v>0</v>
      </c>
      <c r="E2">
        <f>BDH("REVBW US Equity","SHORT_AND_LONG_TERM_DEBT","1993-06-18","2026-05-02","Per=Y","Days=T","Dir=V")</f>
        <v>0</v>
      </c>
      <c r="G2">
        <f>BDH("REVBW US Equity","BS_ST_BORROW","1993-06-18","2026-05-02","Per=Y","Days=T","Dir=V")</f>
        <v>0</v>
      </c>
      <c r="I2">
        <f>BDH("REVBW US Equity","BS_LT_BORROW","1993-06-18","2026-05-02","Per=Y","Days=T","Dir=V")</f>
        <v>0</v>
      </c>
      <c r="K2">
        <f>BDH("REVBW US Equity","BS_CASH_NEAR_CASH_ITEM","1993-06-18","2026-05-02","Per=Y","Days=T","Dir=V")</f>
        <v>0</v>
      </c>
      <c r="M2">
        <f>BDH("REVBW US Equity","BS_CUR_ASSET_REPORT","1993-06-18","2026-05-02","Per=Y","Days=T","Dir=V")</f>
        <v>0</v>
      </c>
      <c r="O2">
        <f>BDH("REVBW US Equity","BS_CUR_LIAB","1993-06-18","2026-05-02","Per=Y","Days=T","Dir=V")</f>
        <v>0</v>
      </c>
      <c r="Q2">
        <f>BDH("REVBW US Equity","BS_SHAREHOLDER_EQY_ENDING_PERIOD","1993-06-18","2026-05-02","Per=Y","Days=T","Dir=V")</f>
        <v>0</v>
      </c>
      <c r="S2">
        <f>BDH("REVBW US Equity","BS_ACCT_NOTE_RCV","1993-06-18","2026-05-02","Per=Y","Days=T","Dir=V")</f>
        <v>0</v>
      </c>
      <c r="U2">
        <f>BDH("REVBW US Equity","BS_INVENTORIES","1993-06-18","2026-05-02","Per=Y","Days=T","Dir=V")</f>
        <v>0</v>
      </c>
      <c r="W2">
        <f>BDH("REVBW US Equity","WORKING_CAPITAL","1993-06-18","2026-05-02","Per=Y","Days=T","Dir=V")</f>
        <v>0</v>
      </c>
      <c r="Y2">
        <f>BDH("REVBW US Equity","SALES_REV_TURN","1993-06-18","2026-05-02","Per=Y","Days=T","Dir=V")</f>
        <v>0</v>
      </c>
      <c r="AA2">
        <f>BDH("REVBW US Equity","EBIT","1993-06-18","2026-05-02","Per=Y","Days=T","Dir=V")</f>
        <v>0</v>
      </c>
      <c r="AC2">
        <f>BDH("REVBW US Equity","EBITDA","1993-06-18","2026-05-02","Per=Y","Days=T","Dir=V")</f>
        <v>0</v>
      </c>
      <c r="AE2">
        <f>BDH("REVBW US Equity","NET_INCOME","1993-06-18","2026-05-02","Per=Y","Days=T","Dir=V")</f>
        <v>0</v>
      </c>
      <c r="AG2">
        <f>BDH("REVBW US Equity","IS_INT_EXPENSE","1993-06-18","2026-05-02","Per=Y","Days=T","Dir=V")</f>
        <v>0</v>
      </c>
      <c r="AI2">
        <f>BDH("REVBW US Equity","IS_DEPR_EXP","1993-06-18","2026-05-02","Per=Y","Days=T","Dir=V")</f>
        <v>0</v>
      </c>
      <c r="AK2">
        <f>BDH("REVBW US Equity","CF_CASH_FROM_OPER","1993-06-18","2026-05-02","Per=Y","Days=T","Dir=V")</f>
        <v>0</v>
      </c>
      <c r="AM2">
        <f>BDH("REVBW US Equity","CAPITAL_EXPEND","1993-06-18","2026-05-02","Per=Y","Days=T","Dir=V")</f>
        <v>0</v>
      </c>
      <c r="AO2">
        <f>BDH("REVBW US Equity","CF_FREE_CASH_FLOW","1993-06-18","2026-05-02","Per=Y","Days=T","Dir=V")</f>
        <v>0</v>
      </c>
      <c r="AQ2">
        <f>BDH("REVBW US Equity","PX_LAST","1993-06-18","2026-05-02","Per=M","Days=T","Dir=V")</f>
        <v>0</v>
      </c>
      <c r="AS2">
        <f>BDH("REVBW US Equity","CUR_MKT_CAP","1993-06-18","2026-05-02","Per=M","Days=T","Dir=V")</f>
        <v>0</v>
      </c>
      <c r="AU2">
        <f>BDH("REVBW US Equity","EQY_SH_OUT","1993-06-18","2026-05-02","Per=M","Days=T","Dir=V")</f>
        <v>0</v>
      </c>
      <c r="AW2">
        <f>BDH("REVBW US Equity","PX_VOLUME","1993-06-18","2026-05-02","Per=M","Days=T","Dir=V")</f>
        <v>0</v>
      </c>
      <c r="AY2">
        <f>BDH("REVBW US Equity","TURNOVER","1993-06-18","2026-05-02","Per=M","Days=T","Dir=V")</f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BDH("REX US Equity","BS_TOT_ASSET","1993-06-18","2026-05-02","Per=Y","Days=T","Dir=V")</f>
        <v>0</v>
      </c>
      <c r="C2">
        <f>BDH("REX US Equity","BS_TOT_LIAB2","1993-06-18","2026-05-02","Per=Y","Days=T","Dir=V")</f>
        <v>0</v>
      </c>
      <c r="E2">
        <f>BDH("REX US Equity","SHORT_AND_LONG_TERM_DEBT","1993-06-18","2026-05-02","Per=Y","Days=T","Dir=V")</f>
        <v>0</v>
      </c>
      <c r="G2">
        <f>BDH("REX US Equity","BS_ST_BORROW","1993-06-18","2026-05-02","Per=Y","Days=T","Dir=V")</f>
        <v>0</v>
      </c>
      <c r="I2">
        <f>BDH("REX US Equity","BS_LT_BORROW","1993-06-18","2026-05-02","Per=Y","Days=T","Dir=V")</f>
        <v>0</v>
      </c>
      <c r="K2">
        <f>BDH("REX US Equity","BS_CASH_NEAR_CASH_ITEM","1993-06-18","2026-05-02","Per=Y","Days=T","Dir=V")</f>
        <v>0</v>
      </c>
      <c r="M2">
        <f>BDH("REX US Equity","BS_CUR_ASSET_REPORT","1993-06-18","2026-05-02","Per=Y","Days=T","Dir=V")</f>
        <v>0</v>
      </c>
      <c r="O2">
        <f>BDH("REX US Equity","BS_CUR_LIAB","1993-06-18","2026-05-02","Per=Y","Days=T","Dir=V")</f>
        <v>0</v>
      </c>
      <c r="Q2">
        <f>BDH("REX US Equity","BS_SHAREHOLDER_EQY_ENDING_PERIOD","1993-06-18","2026-05-02","Per=Y","Days=T","Dir=V")</f>
        <v>0</v>
      </c>
      <c r="S2">
        <f>BDH("REX US Equity","BS_ACCT_NOTE_RCV","1993-06-18","2026-05-02","Per=Y","Days=T","Dir=V")</f>
        <v>0</v>
      </c>
      <c r="U2">
        <f>BDH("REX US Equity","BS_INVENTORIES","1993-06-18","2026-05-02","Per=Y","Days=T","Dir=V")</f>
        <v>0</v>
      </c>
      <c r="W2">
        <f>BDH("REX US Equity","WORKING_CAPITAL","1993-06-18","2026-05-02","Per=Y","Days=T","Dir=V")</f>
        <v>0</v>
      </c>
      <c r="Y2">
        <f>BDH("REX US Equity","SALES_REV_TURN","1993-06-18","2026-05-02","Per=Y","Days=T","Dir=V")</f>
        <v>0</v>
      </c>
      <c r="AA2">
        <f>BDH("REX US Equity","EBIT","1993-06-18","2026-05-02","Per=Y","Days=T","Dir=V")</f>
        <v>0</v>
      </c>
      <c r="AC2">
        <f>BDH("REX US Equity","EBITDA","1993-06-18","2026-05-02","Per=Y","Days=T","Dir=V")</f>
        <v>0</v>
      </c>
      <c r="AE2">
        <f>BDH("REX US Equity","NET_INCOME","1993-06-18","2026-05-02","Per=Y","Days=T","Dir=V")</f>
        <v>0</v>
      </c>
      <c r="AG2">
        <f>BDH("REX US Equity","IS_INT_EXPENSE","1993-06-18","2026-05-02","Per=Y","Days=T","Dir=V")</f>
        <v>0</v>
      </c>
      <c r="AI2">
        <f>BDH("REX US Equity","IS_DEPR_EXP","1993-06-18","2026-05-02","Per=Y","Days=T","Dir=V")</f>
        <v>0</v>
      </c>
      <c r="AK2">
        <f>BDH("REX US Equity","CF_CASH_FROM_OPER","1993-06-18","2026-05-02","Per=Y","Days=T","Dir=V")</f>
        <v>0</v>
      </c>
      <c r="AM2">
        <f>BDH("REX US Equity","CAPITAL_EXPEND","1993-06-18","2026-05-02","Per=Y","Days=T","Dir=V")</f>
        <v>0</v>
      </c>
      <c r="AO2">
        <f>BDH("REX US Equity","CF_FREE_CASH_FLOW","1993-06-18","2026-05-02","Per=Y","Days=T","Dir=V")</f>
        <v>0</v>
      </c>
      <c r="AQ2">
        <f>BDH("REX US Equity","PX_LAST","1993-06-18","2026-05-02","Per=M","Days=T","Dir=V")</f>
        <v>0</v>
      </c>
      <c r="AS2">
        <f>BDH("REX US Equity","CUR_MKT_CAP","1993-06-18","2026-05-02","Per=M","Days=T","Dir=V")</f>
        <v>0</v>
      </c>
      <c r="AU2">
        <f>BDH("REX US Equity","EQY_SH_OUT","1993-06-18","2026-05-02","Per=M","Days=T","Dir=V")</f>
        <v>0</v>
      </c>
      <c r="AW2">
        <f>BDH("REX US Equity","PX_VOLUME","1993-06-18","2026-05-02","Per=M","Days=T","Dir=V")</f>
        <v>0</v>
      </c>
      <c r="AY2">
        <f>BDH("REX US Equity","TURNOVER","1993-06-18","2026-05-02","Per=M","Days=T","Dir=V")</f>
        <v>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BDH("REYN US Equity","BS_TOT_ASSET","1993-06-18","2026-05-02","Per=Y","Days=T","Dir=V")</f>
        <v>0</v>
      </c>
      <c r="C2">
        <f>BDH("REYN US Equity","BS_TOT_LIAB2","1993-06-18","2026-05-02","Per=Y","Days=T","Dir=V")</f>
        <v>0</v>
      </c>
      <c r="E2">
        <f>BDH("REYN US Equity","SHORT_AND_LONG_TERM_DEBT","1993-06-18","2026-05-02","Per=Y","Days=T","Dir=V")</f>
        <v>0</v>
      </c>
      <c r="G2">
        <f>BDH("REYN US Equity","BS_ST_BORROW","1993-06-18","2026-05-02","Per=Y","Days=T","Dir=V")</f>
        <v>0</v>
      </c>
      <c r="I2">
        <f>BDH("REYN US Equity","BS_LT_BORROW","1993-06-18","2026-05-02","Per=Y","Days=T","Dir=V")</f>
        <v>0</v>
      </c>
      <c r="K2">
        <f>BDH("REYN US Equity","BS_CASH_NEAR_CASH_ITEM","1993-06-18","2026-05-02","Per=Y","Days=T","Dir=V")</f>
        <v>0</v>
      </c>
      <c r="M2">
        <f>BDH("REYN US Equity","BS_CUR_ASSET_REPORT","1993-06-18","2026-05-02","Per=Y","Days=T","Dir=V")</f>
        <v>0</v>
      </c>
      <c r="O2">
        <f>BDH("REYN US Equity","BS_CUR_LIAB","1993-06-18","2026-05-02","Per=Y","Days=T","Dir=V")</f>
        <v>0</v>
      </c>
      <c r="Q2">
        <f>BDH("REYN US Equity","BS_SHAREHOLDER_EQY_ENDING_PERIOD","1993-06-18","2026-05-02","Per=Y","Days=T","Dir=V")</f>
        <v>0</v>
      </c>
      <c r="S2">
        <f>BDH("REYN US Equity","BS_ACCT_NOTE_RCV","1993-06-18","2026-05-02","Per=Y","Days=T","Dir=V")</f>
        <v>0</v>
      </c>
      <c r="U2">
        <f>BDH("REYN US Equity","BS_INVENTORIES","1993-06-18","2026-05-02","Per=Y","Days=T","Dir=V")</f>
        <v>0</v>
      </c>
      <c r="W2">
        <f>BDH("REYN US Equity","WORKING_CAPITAL","1993-06-18","2026-05-02","Per=Y","Days=T","Dir=V")</f>
        <v>0</v>
      </c>
      <c r="Y2">
        <f>BDH("REYN US Equity","SALES_REV_TURN","1993-06-18","2026-05-02","Per=Y","Days=T","Dir=V")</f>
        <v>0</v>
      </c>
      <c r="AA2">
        <f>BDH("REYN US Equity","EBIT","1993-06-18","2026-05-02","Per=Y","Days=T","Dir=V")</f>
        <v>0</v>
      </c>
      <c r="AC2">
        <f>BDH("REYN US Equity","EBITDA","1993-06-18","2026-05-02","Per=Y","Days=T","Dir=V")</f>
        <v>0</v>
      </c>
      <c r="AE2">
        <f>BDH("REYN US Equity","NET_INCOME","1993-06-18","2026-05-02","Per=Y","Days=T","Dir=V")</f>
        <v>0</v>
      </c>
      <c r="AG2">
        <f>BDH("REYN US Equity","IS_INT_EXPENSE","1993-06-18","2026-05-02","Per=Y","Days=T","Dir=V")</f>
        <v>0</v>
      </c>
      <c r="AI2">
        <f>BDH("REYN US Equity","IS_DEPR_EXP","1993-06-18","2026-05-02","Per=Y","Days=T","Dir=V")</f>
        <v>0</v>
      </c>
      <c r="AK2">
        <f>BDH("REYN US Equity","CF_CASH_FROM_OPER","1993-06-18","2026-05-02","Per=Y","Days=T","Dir=V")</f>
        <v>0</v>
      </c>
      <c r="AM2">
        <f>BDH("REYN US Equity","CAPITAL_EXPEND","1993-06-18","2026-05-02","Per=Y","Days=T","Dir=V")</f>
        <v>0</v>
      </c>
      <c r="AO2">
        <f>BDH("REYN US Equity","CF_FREE_CASH_FLOW","1993-06-18","2026-05-02","Per=Y","Days=T","Dir=V")</f>
        <v>0</v>
      </c>
      <c r="AQ2">
        <f>BDH("REYN US Equity","PX_LAST","1993-06-18","2026-05-02","Per=M","Days=T","Dir=V")</f>
        <v>0</v>
      </c>
      <c r="AS2">
        <f>BDH("REYN US Equity","CUR_MKT_CAP","1993-06-18","2026-05-02","Per=M","Days=T","Dir=V")</f>
        <v>0</v>
      </c>
      <c r="AU2">
        <f>BDH("REYN US Equity","EQY_SH_OUT","1993-06-18","2026-05-02","Per=M","Days=T","Dir=V")</f>
        <v>0</v>
      </c>
      <c r="AW2">
        <f>BDH("REYN US Equity","PX_VOLUME","1993-06-18","2026-05-02","Per=M","Days=T","Dir=V")</f>
        <v>0</v>
      </c>
      <c r="AY2">
        <f>BDH("REYN US Equity","TURNOVER","1993-06-18","2026-05-02","Per=M","Days=T","Dir=V")</f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BDH("REZI US Equity","BS_TOT_ASSET","1993-06-18","2026-05-02","Per=Y","Days=T","Dir=V")</f>
        <v>0</v>
      </c>
      <c r="C2">
        <f>BDH("REZI US Equity","BS_TOT_LIAB2","1993-06-18","2026-05-02","Per=Y","Days=T","Dir=V")</f>
        <v>0</v>
      </c>
      <c r="E2">
        <f>BDH("REZI US Equity","SHORT_AND_LONG_TERM_DEBT","1993-06-18","2026-05-02","Per=Y","Days=T","Dir=V")</f>
        <v>0</v>
      </c>
      <c r="G2">
        <f>BDH("REZI US Equity","BS_ST_BORROW","1993-06-18","2026-05-02","Per=Y","Days=T","Dir=V")</f>
        <v>0</v>
      </c>
      <c r="I2">
        <f>BDH("REZI US Equity","BS_LT_BORROW","1993-06-18","2026-05-02","Per=Y","Days=T","Dir=V")</f>
        <v>0</v>
      </c>
      <c r="K2">
        <f>BDH("REZI US Equity","BS_CASH_NEAR_CASH_ITEM","1993-06-18","2026-05-02","Per=Y","Days=T","Dir=V")</f>
        <v>0</v>
      </c>
      <c r="M2">
        <f>BDH("REZI US Equity","BS_CUR_ASSET_REPORT","1993-06-18","2026-05-02","Per=Y","Days=T","Dir=V")</f>
        <v>0</v>
      </c>
      <c r="O2">
        <f>BDH("REZI US Equity","BS_CUR_LIAB","1993-06-18","2026-05-02","Per=Y","Days=T","Dir=V")</f>
        <v>0</v>
      </c>
      <c r="Q2">
        <f>BDH("REZI US Equity","BS_SHAREHOLDER_EQY_ENDING_PERIOD","1993-06-18","2026-05-02","Per=Y","Days=T","Dir=V")</f>
        <v>0</v>
      </c>
      <c r="S2">
        <f>BDH("REZI US Equity","BS_ACCT_NOTE_RCV","1993-06-18","2026-05-02","Per=Y","Days=T","Dir=V")</f>
        <v>0</v>
      </c>
      <c r="U2">
        <f>BDH("REZI US Equity","BS_INVENTORIES","1993-06-18","2026-05-02","Per=Y","Days=T","Dir=V")</f>
        <v>0</v>
      </c>
      <c r="W2">
        <f>BDH("REZI US Equity","WORKING_CAPITAL","1993-06-18","2026-05-02","Per=Y","Days=T","Dir=V")</f>
        <v>0</v>
      </c>
      <c r="Y2">
        <f>BDH("REZI US Equity","SALES_REV_TURN","1993-06-18","2026-05-02","Per=Y","Days=T","Dir=V")</f>
        <v>0</v>
      </c>
      <c r="AA2">
        <f>BDH("REZI US Equity","EBIT","1993-06-18","2026-05-02","Per=Y","Days=T","Dir=V")</f>
        <v>0</v>
      </c>
      <c r="AC2">
        <f>BDH("REZI US Equity","EBITDA","1993-06-18","2026-05-02","Per=Y","Days=T","Dir=V")</f>
        <v>0</v>
      </c>
      <c r="AE2">
        <f>BDH("REZI US Equity","NET_INCOME","1993-06-18","2026-05-02","Per=Y","Days=T","Dir=V")</f>
        <v>0</v>
      </c>
      <c r="AG2">
        <f>BDH("REZI US Equity","IS_INT_EXPENSE","1993-06-18","2026-05-02","Per=Y","Days=T","Dir=V")</f>
        <v>0</v>
      </c>
      <c r="AI2">
        <f>BDH("REZI US Equity","IS_DEPR_EXP","1993-06-18","2026-05-02","Per=Y","Days=T","Dir=V")</f>
        <v>0</v>
      </c>
      <c r="AK2">
        <f>BDH("REZI US Equity","CF_CASH_FROM_OPER","1993-06-18","2026-05-02","Per=Y","Days=T","Dir=V")</f>
        <v>0</v>
      </c>
      <c r="AM2">
        <f>BDH("REZI US Equity","CAPITAL_EXPEND","1993-06-18","2026-05-02","Per=Y","Days=T","Dir=V")</f>
        <v>0</v>
      </c>
      <c r="AO2">
        <f>BDH("REZI US Equity","CF_FREE_CASH_FLOW","1993-06-18","2026-05-02","Per=Y","Days=T","Dir=V")</f>
        <v>0</v>
      </c>
      <c r="AQ2">
        <f>BDH("REZI US Equity","PX_LAST","1993-06-18","2026-05-02","Per=M","Days=T","Dir=V")</f>
        <v>0</v>
      </c>
      <c r="AS2">
        <f>BDH("REZI US Equity","CUR_MKT_CAP","1993-06-18","2026-05-02","Per=M","Days=T","Dir=V")</f>
        <v>0</v>
      </c>
      <c r="AU2">
        <f>BDH("REZI US Equity","EQY_SH_OUT","1993-06-18","2026-05-02","Per=M","Days=T","Dir=V")</f>
        <v>0</v>
      </c>
      <c r="AW2">
        <f>BDH("REZI US Equity","PX_VOLUME","1993-06-18","2026-05-02","Per=M","Days=T","Dir=V")</f>
        <v>0</v>
      </c>
      <c r="AY2">
        <f>BDH("REZI US Equity","TURNOVER","1993-06-18","2026-05-02","Per=M","Days=T","Dir=V")</f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BDH("RFIL US Equity","BS_TOT_ASSET","1993-06-18","2026-05-02","Per=Y","Days=T","Dir=V")</f>
        <v>0</v>
      </c>
      <c r="C2">
        <f>BDH("RFIL US Equity","BS_TOT_LIAB2","1993-06-18","2026-05-02","Per=Y","Days=T","Dir=V")</f>
        <v>0</v>
      </c>
      <c r="E2">
        <f>BDH("RFIL US Equity","SHORT_AND_LONG_TERM_DEBT","1993-06-18","2026-05-02","Per=Y","Days=T","Dir=V")</f>
        <v>0</v>
      </c>
      <c r="G2">
        <f>BDH("RFIL US Equity","BS_ST_BORROW","1993-06-18","2026-05-02","Per=Y","Days=T","Dir=V")</f>
        <v>0</v>
      </c>
      <c r="I2">
        <f>BDH("RFIL US Equity","BS_LT_BORROW","1993-06-18","2026-05-02","Per=Y","Days=T","Dir=V")</f>
        <v>0</v>
      </c>
      <c r="K2">
        <f>BDH("RFIL US Equity","BS_CASH_NEAR_CASH_ITEM","1993-06-18","2026-05-02","Per=Y","Days=T","Dir=V")</f>
        <v>0</v>
      </c>
      <c r="M2">
        <f>BDH("RFIL US Equity","BS_CUR_ASSET_REPORT","1993-06-18","2026-05-02","Per=Y","Days=T","Dir=V")</f>
        <v>0</v>
      </c>
      <c r="O2">
        <f>BDH("RFIL US Equity","BS_CUR_LIAB","1993-06-18","2026-05-02","Per=Y","Days=T","Dir=V")</f>
        <v>0</v>
      </c>
      <c r="Q2">
        <f>BDH("RFIL US Equity","BS_SHAREHOLDER_EQY_ENDING_PERIOD","1993-06-18","2026-05-02","Per=Y","Days=T","Dir=V")</f>
        <v>0</v>
      </c>
      <c r="S2">
        <f>BDH("RFIL US Equity","BS_ACCT_NOTE_RCV","1993-06-18","2026-05-02","Per=Y","Days=T","Dir=V")</f>
        <v>0</v>
      </c>
      <c r="U2">
        <f>BDH("RFIL US Equity","BS_INVENTORIES","1993-06-18","2026-05-02","Per=Y","Days=T","Dir=V")</f>
        <v>0</v>
      </c>
      <c r="W2">
        <f>BDH("RFIL US Equity","WORKING_CAPITAL","1993-06-18","2026-05-02","Per=Y","Days=T","Dir=V")</f>
        <v>0</v>
      </c>
      <c r="Y2">
        <f>BDH("RFIL US Equity","SALES_REV_TURN","1993-06-18","2026-05-02","Per=Y","Days=T","Dir=V")</f>
        <v>0</v>
      </c>
      <c r="AA2">
        <f>BDH("RFIL US Equity","EBIT","1993-06-18","2026-05-02","Per=Y","Days=T","Dir=V")</f>
        <v>0</v>
      </c>
      <c r="AC2">
        <f>BDH("RFIL US Equity","EBITDA","1993-06-18","2026-05-02","Per=Y","Days=T","Dir=V")</f>
        <v>0</v>
      </c>
      <c r="AE2">
        <f>BDH("RFIL US Equity","NET_INCOME","1993-06-18","2026-05-02","Per=Y","Days=T","Dir=V")</f>
        <v>0</v>
      </c>
      <c r="AG2">
        <f>BDH("RFIL US Equity","IS_INT_EXPENSE","1993-06-18","2026-05-02","Per=Y","Days=T","Dir=V")</f>
        <v>0</v>
      </c>
      <c r="AI2">
        <f>BDH("RFIL US Equity","IS_DEPR_EXP","1993-06-18","2026-05-02","Per=Y","Days=T","Dir=V")</f>
        <v>0</v>
      </c>
      <c r="AK2">
        <f>BDH("RFIL US Equity","CF_CASH_FROM_OPER","1993-06-18","2026-05-02","Per=Y","Days=T","Dir=V")</f>
        <v>0</v>
      </c>
      <c r="AM2">
        <f>BDH("RFIL US Equity","CAPITAL_EXPEND","1993-06-18","2026-05-02","Per=Y","Days=T","Dir=V")</f>
        <v>0</v>
      </c>
      <c r="AO2">
        <f>BDH("RFIL US Equity","CF_FREE_CASH_FLOW","1993-06-18","2026-05-02","Per=Y","Days=T","Dir=V")</f>
        <v>0</v>
      </c>
      <c r="AQ2">
        <f>BDH("RFIL US Equity","PX_LAST","1993-06-18","2026-05-02","Per=M","Days=T","Dir=V")</f>
        <v>0</v>
      </c>
      <c r="AS2">
        <f>BDH("RFIL US Equity","CUR_MKT_CAP","1993-06-18","2026-05-02","Per=M","Days=T","Dir=V")</f>
        <v>0</v>
      </c>
      <c r="AU2">
        <f>BDH("RFIL US Equity","EQY_SH_OUT","1993-06-18","2026-05-02","Per=M","Days=T","Dir=V")</f>
        <v>0</v>
      </c>
      <c r="AW2">
        <f>BDH("RFIL US Equity","PX_VOLUME","1993-06-18","2026-05-02","Per=M","Days=T","Dir=V")</f>
        <v>0</v>
      </c>
      <c r="AY2">
        <f>BDH("RFIL US Equity","TURNOVER","1993-06-18","2026-05-02","Per=M","Days=T","Dir=V")</f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BDH("RFL US Equity","BS_TOT_ASSET","1993-06-18","2026-05-02","Per=Y","Days=T","Dir=V")</f>
        <v>0</v>
      </c>
      <c r="C2">
        <f>BDH("RFL US Equity","BS_TOT_LIAB2","1993-06-18","2026-05-02","Per=Y","Days=T","Dir=V")</f>
        <v>0</v>
      </c>
      <c r="E2">
        <f>BDH("RFL US Equity","SHORT_AND_LONG_TERM_DEBT","1993-06-18","2026-05-02","Per=Y","Days=T","Dir=V")</f>
        <v>0</v>
      </c>
      <c r="G2">
        <f>BDH("RFL US Equity","BS_ST_BORROW","1993-06-18","2026-05-02","Per=Y","Days=T","Dir=V")</f>
        <v>0</v>
      </c>
      <c r="I2">
        <f>BDH("RFL US Equity","BS_LT_BORROW","1993-06-18","2026-05-02","Per=Y","Days=T","Dir=V")</f>
        <v>0</v>
      </c>
      <c r="K2">
        <f>BDH("RFL US Equity","BS_CASH_NEAR_CASH_ITEM","1993-06-18","2026-05-02","Per=Y","Days=T","Dir=V")</f>
        <v>0</v>
      </c>
      <c r="M2">
        <f>BDH("RFL US Equity","BS_CUR_ASSET_REPORT","1993-06-18","2026-05-02","Per=Y","Days=T","Dir=V")</f>
        <v>0</v>
      </c>
      <c r="O2">
        <f>BDH("RFL US Equity","BS_CUR_LIAB","1993-06-18","2026-05-02","Per=Y","Days=T","Dir=V")</f>
        <v>0</v>
      </c>
      <c r="Q2">
        <f>BDH("RFL US Equity","BS_SHAREHOLDER_EQY_ENDING_PERIOD","1993-06-18","2026-05-02","Per=Y","Days=T","Dir=V")</f>
        <v>0</v>
      </c>
      <c r="S2">
        <f>BDH("RFL US Equity","BS_ACCT_NOTE_RCV","1993-06-18","2026-05-02","Per=Y","Days=T","Dir=V")</f>
        <v>0</v>
      </c>
      <c r="U2">
        <f>BDH("RFL US Equity","BS_INVENTORIES","1993-06-18","2026-05-02","Per=Y","Days=T","Dir=V")</f>
        <v>0</v>
      </c>
      <c r="W2">
        <f>BDH("RFL US Equity","WORKING_CAPITAL","1993-06-18","2026-05-02","Per=Y","Days=T","Dir=V")</f>
        <v>0</v>
      </c>
      <c r="Y2">
        <f>BDH("RFL US Equity","SALES_REV_TURN","1993-06-18","2026-05-02","Per=Y","Days=T","Dir=V")</f>
        <v>0</v>
      </c>
      <c r="AA2">
        <f>BDH("RFL US Equity","EBIT","1993-06-18","2026-05-02","Per=Y","Days=T","Dir=V")</f>
        <v>0</v>
      </c>
      <c r="AC2">
        <f>BDH("RFL US Equity","EBITDA","1993-06-18","2026-05-02","Per=Y","Days=T","Dir=V")</f>
        <v>0</v>
      </c>
      <c r="AE2">
        <f>BDH("RFL US Equity","NET_INCOME","1993-06-18","2026-05-02","Per=Y","Days=T","Dir=V")</f>
        <v>0</v>
      </c>
      <c r="AG2">
        <f>BDH("RFL US Equity","IS_INT_EXPENSE","1993-06-18","2026-05-02","Per=Y","Days=T","Dir=V")</f>
        <v>0</v>
      </c>
      <c r="AI2">
        <f>BDH("RFL US Equity","IS_DEPR_EXP","1993-06-18","2026-05-02","Per=Y","Days=T","Dir=V")</f>
        <v>0</v>
      </c>
      <c r="AK2">
        <f>BDH("RFL US Equity","CF_CASH_FROM_OPER","1993-06-18","2026-05-02","Per=Y","Days=T","Dir=V")</f>
        <v>0</v>
      </c>
      <c r="AM2">
        <f>BDH("RFL US Equity","CAPITAL_EXPEND","1993-06-18","2026-05-02","Per=Y","Days=T","Dir=V")</f>
        <v>0</v>
      </c>
      <c r="AO2">
        <f>BDH("RFL US Equity","CF_FREE_CASH_FLOW","1993-06-18","2026-05-02","Per=Y","Days=T","Dir=V")</f>
        <v>0</v>
      </c>
      <c r="AQ2">
        <f>BDH("RFL US Equity","PX_LAST","1993-06-18","2026-05-02","Per=M","Days=T","Dir=V")</f>
        <v>0</v>
      </c>
      <c r="AS2">
        <f>BDH("RFL US Equity","CUR_MKT_CAP","1993-06-18","2026-05-02","Per=M","Days=T","Dir=V")</f>
        <v>0</v>
      </c>
      <c r="AU2">
        <f>BDH("RFL US Equity","EQY_SH_OUT","1993-06-18","2026-05-02","Per=M","Days=T","Dir=V")</f>
        <v>0</v>
      </c>
      <c r="AW2">
        <f>BDH("RFL US Equity","PX_VOLUME","1993-06-18","2026-05-02","Per=M","Days=T","Dir=V")</f>
        <v>0</v>
      </c>
      <c r="AY2">
        <f>BDH("RFL US Equity","TURNOVER","1993-06-18","2026-05-02","Per=M","Days=T","Dir=V")</f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BDH("RGCO US Equity","BS_TOT_ASSET","1993-06-18","2026-05-02","Per=Y","Days=T","Dir=V")</f>
        <v>0</v>
      </c>
      <c r="C2">
        <f>BDH("RGCO US Equity","BS_TOT_LIAB2","1993-06-18","2026-05-02","Per=Y","Days=T","Dir=V")</f>
        <v>0</v>
      </c>
      <c r="E2">
        <f>BDH("RGCO US Equity","SHORT_AND_LONG_TERM_DEBT","1993-06-18","2026-05-02","Per=Y","Days=T","Dir=V")</f>
        <v>0</v>
      </c>
      <c r="G2">
        <f>BDH("RGCO US Equity","BS_ST_BORROW","1993-06-18","2026-05-02","Per=Y","Days=T","Dir=V")</f>
        <v>0</v>
      </c>
      <c r="I2">
        <f>BDH("RGCO US Equity","BS_LT_BORROW","1993-06-18","2026-05-02","Per=Y","Days=T","Dir=V")</f>
        <v>0</v>
      </c>
      <c r="K2">
        <f>BDH("RGCO US Equity","BS_CASH_NEAR_CASH_ITEM","1993-06-18","2026-05-02","Per=Y","Days=T","Dir=V")</f>
        <v>0</v>
      </c>
      <c r="M2">
        <f>BDH("RGCO US Equity","BS_CUR_ASSET_REPORT","1993-06-18","2026-05-02","Per=Y","Days=T","Dir=V")</f>
        <v>0</v>
      </c>
      <c r="O2">
        <f>BDH("RGCO US Equity","BS_CUR_LIAB","1993-06-18","2026-05-02","Per=Y","Days=T","Dir=V")</f>
        <v>0</v>
      </c>
      <c r="Q2">
        <f>BDH("RGCO US Equity","BS_SHAREHOLDER_EQY_ENDING_PERIOD","1993-06-18","2026-05-02","Per=Y","Days=T","Dir=V")</f>
        <v>0</v>
      </c>
      <c r="S2">
        <f>BDH("RGCO US Equity","BS_ACCT_NOTE_RCV","1993-06-18","2026-05-02","Per=Y","Days=T","Dir=V")</f>
        <v>0</v>
      </c>
      <c r="U2">
        <f>BDH("RGCO US Equity","BS_INVENTORIES","1993-06-18","2026-05-02","Per=Y","Days=T","Dir=V")</f>
        <v>0</v>
      </c>
      <c r="W2">
        <f>BDH("RGCO US Equity","WORKING_CAPITAL","1993-06-18","2026-05-02","Per=Y","Days=T","Dir=V")</f>
        <v>0</v>
      </c>
      <c r="Y2">
        <f>BDH("RGCO US Equity","SALES_REV_TURN","1993-06-18","2026-05-02","Per=Y","Days=T","Dir=V")</f>
        <v>0</v>
      </c>
      <c r="AA2">
        <f>BDH("RGCO US Equity","EBIT","1993-06-18","2026-05-02","Per=Y","Days=T","Dir=V")</f>
        <v>0</v>
      </c>
      <c r="AC2">
        <f>BDH("RGCO US Equity","EBITDA","1993-06-18","2026-05-02","Per=Y","Days=T","Dir=V")</f>
        <v>0</v>
      </c>
      <c r="AE2">
        <f>BDH("RGCO US Equity","NET_INCOME","1993-06-18","2026-05-02","Per=Y","Days=T","Dir=V")</f>
        <v>0</v>
      </c>
      <c r="AG2">
        <f>BDH("RGCO US Equity","IS_INT_EXPENSE","1993-06-18","2026-05-02","Per=Y","Days=T","Dir=V")</f>
        <v>0</v>
      </c>
      <c r="AI2">
        <f>BDH("RGCO US Equity","IS_DEPR_EXP","1993-06-18","2026-05-02","Per=Y","Days=T","Dir=V")</f>
        <v>0</v>
      </c>
      <c r="AK2">
        <f>BDH("RGCO US Equity","CF_CASH_FROM_OPER","1993-06-18","2026-05-02","Per=Y","Days=T","Dir=V")</f>
        <v>0</v>
      </c>
      <c r="AM2">
        <f>BDH("RGCO US Equity","CAPITAL_EXPEND","1993-06-18","2026-05-02","Per=Y","Days=T","Dir=V")</f>
        <v>0</v>
      </c>
      <c r="AO2">
        <f>BDH("RGCO US Equity","CF_FREE_CASH_FLOW","1993-06-18","2026-05-02","Per=Y","Days=T","Dir=V")</f>
        <v>0</v>
      </c>
      <c r="AQ2">
        <f>BDH("RGCO US Equity","PX_LAST","1993-06-18","2026-05-02","Per=M","Days=T","Dir=V")</f>
        <v>0</v>
      </c>
      <c r="AS2">
        <f>BDH("RGCO US Equity","CUR_MKT_CAP","1993-06-18","2026-05-02","Per=M","Days=T","Dir=V")</f>
        <v>0</v>
      </c>
      <c r="AU2">
        <f>BDH("RGCO US Equity","EQY_SH_OUT","1993-06-18","2026-05-02","Per=M","Days=T","Dir=V")</f>
        <v>0</v>
      </c>
      <c r="AW2">
        <f>BDH("RGCO US Equity","PX_VOLUME","1993-06-18","2026-05-02","Per=M","Days=T","Dir=V")</f>
        <v>0</v>
      </c>
      <c r="AY2">
        <f>BDH("RGCO US Equity","TURNOVER","1993-06-18","2026-05-02","Per=M","Days=T","Dir=V")</f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BDH("RGEN US Equity","BS_TOT_ASSET","1993-06-18","2026-05-02","Per=Y","Days=T","Dir=V")</f>
        <v>0</v>
      </c>
      <c r="C2">
        <f>BDH("RGEN US Equity","BS_TOT_LIAB2","1993-06-18","2026-05-02","Per=Y","Days=T","Dir=V")</f>
        <v>0</v>
      </c>
      <c r="E2">
        <f>BDH("RGEN US Equity","SHORT_AND_LONG_TERM_DEBT","1993-06-18","2026-05-02","Per=Y","Days=T","Dir=V")</f>
        <v>0</v>
      </c>
      <c r="G2">
        <f>BDH("RGEN US Equity","BS_ST_BORROW","1993-06-18","2026-05-02","Per=Y","Days=T","Dir=V")</f>
        <v>0</v>
      </c>
      <c r="I2">
        <f>BDH("RGEN US Equity","BS_LT_BORROW","1993-06-18","2026-05-02","Per=Y","Days=T","Dir=V")</f>
        <v>0</v>
      </c>
      <c r="K2">
        <f>BDH("RGEN US Equity","BS_CASH_NEAR_CASH_ITEM","1993-06-18","2026-05-02","Per=Y","Days=T","Dir=V")</f>
        <v>0</v>
      </c>
      <c r="M2">
        <f>BDH("RGEN US Equity","BS_CUR_ASSET_REPORT","1993-06-18","2026-05-02","Per=Y","Days=T","Dir=V")</f>
        <v>0</v>
      </c>
      <c r="O2">
        <f>BDH("RGEN US Equity","BS_CUR_LIAB","1993-06-18","2026-05-02","Per=Y","Days=T","Dir=V")</f>
        <v>0</v>
      </c>
      <c r="Q2">
        <f>BDH("RGEN US Equity","BS_SHAREHOLDER_EQY_ENDING_PERIOD","1993-06-18","2026-05-02","Per=Y","Days=T","Dir=V")</f>
        <v>0</v>
      </c>
      <c r="S2">
        <f>BDH("RGEN US Equity","BS_ACCT_NOTE_RCV","1993-06-18","2026-05-02","Per=Y","Days=T","Dir=V")</f>
        <v>0</v>
      </c>
      <c r="U2">
        <f>BDH("RGEN US Equity","BS_INVENTORIES","1993-06-18","2026-05-02","Per=Y","Days=T","Dir=V")</f>
        <v>0</v>
      </c>
      <c r="W2">
        <f>BDH("RGEN US Equity","WORKING_CAPITAL","1993-06-18","2026-05-02","Per=Y","Days=T","Dir=V")</f>
        <v>0</v>
      </c>
      <c r="Y2">
        <f>BDH("RGEN US Equity","SALES_REV_TURN","1993-06-18","2026-05-02","Per=Y","Days=T","Dir=V")</f>
        <v>0</v>
      </c>
      <c r="AA2">
        <f>BDH("RGEN US Equity","EBIT","1993-06-18","2026-05-02","Per=Y","Days=T","Dir=V")</f>
        <v>0</v>
      </c>
      <c r="AC2">
        <f>BDH("RGEN US Equity","EBITDA","1993-06-18","2026-05-02","Per=Y","Days=T","Dir=V")</f>
        <v>0</v>
      </c>
      <c r="AE2">
        <f>BDH("RGEN US Equity","NET_INCOME","1993-06-18","2026-05-02","Per=Y","Days=T","Dir=V")</f>
        <v>0</v>
      </c>
      <c r="AG2">
        <f>BDH("RGEN US Equity","IS_INT_EXPENSE","1993-06-18","2026-05-02","Per=Y","Days=T","Dir=V")</f>
        <v>0</v>
      </c>
      <c r="AI2">
        <f>BDH("RGEN US Equity","IS_DEPR_EXP","1993-06-18","2026-05-02","Per=Y","Days=T","Dir=V")</f>
        <v>0</v>
      </c>
      <c r="AK2">
        <f>BDH("RGEN US Equity","CF_CASH_FROM_OPER","1993-06-18","2026-05-02","Per=Y","Days=T","Dir=V")</f>
        <v>0</v>
      </c>
      <c r="AM2">
        <f>BDH("RGEN US Equity","CAPITAL_EXPEND","1993-06-18","2026-05-02","Per=Y","Days=T","Dir=V")</f>
        <v>0</v>
      </c>
      <c r="AO2">
        <f>BDH("RGEN US Equity","CF_FREE_CASH_FLOW","1993-06-18","2026-05-02","Per=Y","Days=T","Dir=V")</f>
        <v>0</v>
      </c>
      <c r="AQ2">
        <f>BDH("RGEN US Equity","PX_LAST","1993-06-18","2026-05-02","Per=M","Days=T","Dir=V")</f>
        <v>0</v>
      </c>
      <c r="AS2">
        <f>BDH("RGEN US Equity","CUR_MKT_CAP","1993-06-18","2026-05-02","Per=M","Days=T","Dir=V")</f>
        <v>0</v>
      </c>
      <c r="AU2">
        <f>BDH("RGEN US Equity","EQY_SH_OUT","1993-06-18","2026-05-02","Per=M","Days=T","Dir=V")</f>
        <v>0</v>
      </c>
      <c r="AW2">
        <f>BDH("RGEN US Equity","PX_VOLUME","1993-06-18","2026-05-02","Per=M","Days=T","Dir=V")</f>
        <v>0</v>
      </c>
      <c r="AY2">
        <f>BDH("RGEN US Equity","TURNOVER","1993-06-18","2026-05-02","Per=M","Days=T","Dir=V")</f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BDH("RGLD US Equity","BS_TOT_ASSET","1993-06-18","2026-05-02","Per=Y","Days=T","Dir=V")</f>
        <v>0</v>
      </c>
      <c r="C2">
        <f>BDH("RGLD US Equity","BS_TOT_LIAB2","1993-06-18","2026-05-02","Per=Y","Days=T","Dir=V")</f>
        <v>0</v>
      </c>
      <c r="E2">
        <f>BDH("RGLD US Equity","SHORT_AND_LONG_TERM_DEBT","1993-06-18","2026-05-02","Per=Y","Days=T","Dir=V")</f>
        <v>0</v>
      </c>
      <c r="G2">
        <f>BDH("RGLD US Equity","BS_ST_BORROW","1993-06-18","2026-05-02","Per=Y","Days=T","Dir=V")</f>
        <v>0</v>
      </c>
      <c r="I2">
        <f>BDH("RGLD US Equity","BS_LT_BORROW","1993-06-18","2026-05-02","Per=Y","Days=T","Dir=V")</f>
        <v>0</v>
      </c>
      <c r="K2">
        <f>BDH("RGLD US Equity","BS_CASH_NEAR_CASH_ITEM","1993-06-18","2026-05-02","Per=Y","Days=T","Dir=V")</f>
        <v>0</v>
      </c>
      <c r="M2">
        <f>BDH("RGLD US Equity","BS_CUR_ASSET_REPORT","1993-06-18","2026-05-02","Per=Y","Days=T","Dir=V")</f>
        <v>0</v>
      </c>
      <c r="O2">
        <f>BDH("RGLD US Equity","BS_CUR_LIAB","1993-06-18","2026-05-02","Per=Y","Days=T","Dir=V")</f>
        <v>0</v>
      </c>
      <c r="Q2">
        <f>BDH("RGLD US Equity","BS_SHAREHOLDER_EQY_ENDING_PERIOD","1993-06-18","2026-05-02","Per=Y","Days=T","Dir=V")</f>
        <v>0</v>
      </c>
      <c r="S2">
        <f>BDH("RGLD US Equity","BS_ACCT_NOTE_RCV","1993-06-18","2026-05-02","Per=Y","Days=T","Dir=V")</f>
        <v>0</v>
      </c>
      <c r="U2">
        <f>BDH("RGLD US Equity","BS_INVENTORIES","1993-06-18","2026-05-02","Per=Y","Days=T","Dir=V")</f>
        <v>0</v>
      </c>
      <c r="W2">
        <f>BDH("RGLD US Equity","WORKING_CAPITAL","1993-06-18","2026-05-02","Per=Y","Days=T","Dir=V")</f>
        <v>0</v>
      </c>
      <c r="Y2">
        <f>BDH("RGLD US Equity","SALES_REV_TURN","1993-06-18","2026-05-02","Per=Y","Days=T","Dir=V")</f>
        <v>0</v>
      </c>
      <c r="AA2">
        <f>BDH("RGLD US Equity","EBIT","1993-06-18","2026-05-02","Per=Y","Days=T","Dir=V")</f>
        <v>0</v>
      </c>
      <c r="AC2">
        <f>BDH("RGLD US Equity","EBITDA","1993-06-18","2026-05-02","Per=Y","Days=T","Dir=V")</f>
        <v>0</v>
      </c>
      <c r="AE2">
        <f>BDH("RGLD US Equity","NET_INCOME","1993-06-18","2026-05-02","Per=Y","Days=T","Dir=V")</f>
        <v>0</v>
      </c>
      <c r="AG2">
        <f>BDH("RGLD US Equity","IS_INT_EXPENSE","1993-06-18","2026-05-02","Per=Y","Days=T","Dir=V")</f>
        <v>0</v>
      </c>
      <c r="AI2">
        <f>BDH("RGLD US Equity","IS_DEPR_EXP","1993-06-18","2026-05-02","Per=Y","Days=T","Dir=V")</f>
        <v>0</v>
      </c>
      <c r="AK2">
        <f>BDH("RGLD US Equity","CF_CASH_FROM_OPER","1993-06-18","2026-05-02","Per=Y","Days=T","Dir=V")</f>
        <v>0</v>
      </c>
      <c r="AM2">
        <f>BDH("RGLD US Equity","CAPITAL_EXPEND","1993-06-18","2026-05-02","Per=Y","Days=T","Dir=V")</f>
        <v>0</v>
      </c>
      <c r="AO2">
        <f>BDH("RGLD US Equity","CF_FREE_CASH_FLOW","1993-06-18","2026-05-02","Per=Y","Days=T","Dir=V")</f>
        <v>0</v>
      </c>
      <c r="AQ2">
        <f>BDH("RGLD US Equity","PX_LAST","1993-06-18","2026-05-02","Per=M","Days=T","Dir=V")</f>
        <v>0</v>
      </c>
      <c r="AS2">
        <f>BDH("RGLD US Equity","CUR_MKT_CAP","1993-06-18","2026-05-02","Per=M","Days=T","Dir=V")</f>
        <v>0</v>
      </c>
      <c r="AU2">
        <f>BDH("RGLD US Equity","EQY_SH_OUT","1993-06-18","2026-05-02","Per=M","Days=T","Dir=V")</f>
        <v>0</v>
      </c>
      <c r="AW2">
        <f>BDH("RGLD US Equity","PX_VOLUME","1993-06-18","2026-05-02","Per=M","Days=T","Dir=V")</f>
        <v>0</v>
      </c>
      <c r="AY2">
        <f>BDH("RGLD US Equity","TURNOVER","1993-06-18","2026-05-02","Per=M","Days=T","Dir=V")</f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BDH("RGNX US Equity","BS_TOT_ASSET","1993-06-18","2026-05-02","Per=Y","Days=T","Dir=V")</f>
        <v>0</v>
      </c>
      <c r="C2">
        <f>BDH("RGNX US Equity","BS_TOT_LIAB2","1993-06-18","2026-05-02","Per=Y","Days=T","Dir=V")</f>
        <v>0</v>
      </c>
      <c r="E2">
        <f>BDH("RGNX US Equity","SHORT_AND_LONG_TERM_DEBT","1993-06-18","2026-05-02","Per=Y","Days=T","Dir=V")</f>
        <v>0</v>
      </c>
      <c r="G2">
        <f>BDH("RGNX US Equity","BS_ST_BORROW","1993-06-18","2026-05-02","Per=Y","Days=T","Dir=V")</f>
        <v>0</v>
      </c>
      <c r="I2">
        <f>BDH("RGNX US Equity","BS_LT_BORROW","1993-06-18","2026-05-02","Per=Y","Days=T","Dir=V")</f>
        <v>0</v>
      </c>
      <c r="K2">
        <f>BDH("RGNX US Equity","BS_CASH_NEAR_CASH_ITEM","1993-06-18","2026-05-02","Per=Y","Days=T","Dir=V")</f>
        <v>0</v>
      </c>
      <c r="M2">
        <f>BDH("RGNX US Equity","BS_CUR_ASSET_REPORT","1993-06-18","2026-05-02","Per=Y","Days=T","Dir=V")</f>
        <v>0</v>
      </c>
      <c r="O2">
        <f>BDH("RGNX US Equity","BS_CUR_LIAB","1993-06-18","2026-05-02","Per=Y","Days=T","Dir=V")</f>
        <v>0</v>
      </c>
      <c r="Q2">
        <f>BDH("RGNX US Equity","BS_SHAREHOLDER_EQY_ENDING_PERIOD","1993-06-18","2026-05-02","Per=Y","Days=T","Dir=V")</f>
        <v>0</v>
      </c>
      <c r="S2">
        <f>BDH("RGNX US Equity","BS_ACCT_NOTE_RCV","1993-06-18","2026-05-02","Per=Y","Days=T","Dir=V")</f>
        <v>0</v>
      </c>
      <c r="U2">
        <f>BDH("RGNX US Equity","BS_INVENTORIES","1993-06-18","2026-05-02","Per=Y","Days=T","Dir=V")</f>
        <v>0</v>
      </c>
      <c r="W2">
        <f>BDH("RGNX US Equity","WORKING_CAPITAL","1993-06-18","2026-05-02","Per=Y","Days=T","Dir=V")</f>
        <v>0</v>
      </c>
      <c r="Y2">
        <f>BDH("RGNX US Equity","SALES_REV_TURN","1993-06-18","2026-05-02","Per=Y","Days=T","Dir=V")</f>
        <v>0</v>
      </c>
      <c r="AA2">
        <f>BDH("RGNX US Equity","EBIT","1993-06-18","2026-05-02","Per=Y","Days=T","Dir=V")</f>
        <v>0</v>
      </c>
      <c r="AC2">
        <f>BDH("RGNX US Equity","EBITDA","1993-06-18","2026-05-02","Per=Y","Days=T","Dir=V")</f>
        <v>0</v>
      </c>
      <c r="AE2">
        <f>BDH("RGNX US Equity","NET_INCOME","1993-06-18","2026-05-02","Per=Y","Days=T","Dir=V")</f>
        <v>0</v>
      </c>
      <c r="AG2">
        <f>BDH("RGNX US Equity","IS_INT_EXPENSE","1993-06-18","2026-05-02","Per=Y","Days=T","Dir=V")</f>
        <v>0</v>
      </c>
      <c r="AI2">
        <f>BDH("RGNX US Equity","IS_DEPR_EXP","1993-06-18","2026-05-02","Per=Y","Days=T","Dir=V")</f>
        <v>0</v>
      </c>
      <c r="AK2">
        <f>BDH("RGNX US Equity","CF_CASH_FROM_OPER","1993-06-18","2026-05-02","Per=Y","Days=T","Dir=V")</f>
        <v>0</v>
      </c>
      <c r="AM2">
        <f>BDH("RGNX US Equity","CAPITAL_EXPEND","1993-06-18","2026-05-02","Per=Y","Days=T","Dir=V")</f>
        <v>0</v>
      </c>
      <c r="AO2">
        <f>BDH("RGNX US Equity","CF_FREE_CASH_FLOW","1993-06-18","2026-05-02","Per=Y","Days=T","Dir=V")</f>
        <v>0</v>
      </c>
      <c r="AQ2">
        <f>BDH("RGNX US Equity","PX_LAST","1993-06-18","2026-05-02","Per=M","Days=T","Dir=V")</f>
        <v>0</v>
      </c>
      <c r="AS2">
        <f>BDH("RGNX US Equity","CUR_MKT_CAP","1993-06-18","2026-05-02","Per=M","Days=T","Dir=V")</f>
        <v>0</v>
      </c>
      <c r="AU2">
        <f>BDH("RGNX US Equity","EQY_SH_OUT","1993-06-18","2026-05-02","Per=M","Days=T","Dir=V")</f>
        <v>0</v>
      </c>
      <c r="AW2">
        <f>BDH("RGNX US Equity","PX_VOLUME","1993-06-18","2026-05-02","Per=M","Days=T","Dir=V")</f>
        <v>0</v>
      </c>
      <c r="AY2">
        <f>BDH("RGNX US Equity","TURNOVER","1993-06-18","2026-05-02","Per=M","Days=T","Dir=V")</f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BDH("RGP US Equity","BS_TOT_ASSET","1993-06-18","2026-05-02","Per=Y","Days=T","Dir=V")</f>
        <v>0</v>
      </c>
      <c r="C2">
        <f>BDH("RGP US Equity","BS_TOT_LIAB2","1993-06-18","2026-05-02","Per=Y","Days=T","Dir=V")</f>
        <v>0</v>
      </c>
      <c r="E2">
        <f>BDH("RGP US Equity","SHORT_AND_LONG_TERM_DEBT","1993-06-18","2026-05-02","Per=Y","Days=T","Dir=V")</f>
        <v>0</v>
      </c>
      <c r="G2">
        <f>BDH("RGP US Equity","BS_ST_BORROW","1993-06-18","2026-05-02","Per=Y","Days=T","Dir=V")</f>
        <v>0</v>
      </c>
      <c r="I2">
        <f>BDH("RGP US Equity","BS_LT_BORROW","1993-06-18","2026-05-02","Per=Y","Days=T","Dir=V")</f>
        <v>0</v>
      </c>
      <c r="K2">
        <f>BDH("RGP US Equity","BS_CASH_NEAR_CASH_ITEM","1993-06-18","2026-05-02","Per=Y","Days=T","Dir=V")</f>
        <v>0</v>
      </c>
      <c r="M2">
        <f>BDH("RGP US Equity","BS_CUR_ASSET_REPORT","1993-06-18","2026-05-02","Per=Y","Days=T","Dir=V")</f>
        <v>0</v>
      </c>
      <c r="O2">
        <f>BDH("RGP US Equity","BS_CUR_LIAB","1993-06-18","2026-05-02","Per=Y","Days=T","Dir=V")</f>
        <v>0</v>
      </c>
      <c r="Q2">
        <f>BDH("RGP US Equity","BS_SHAREHOLDER_EQY_ENDING_PERIOD","1993-06-18","2026-05-02","Per=Y","Days=T","Dir=V")</f>
        <v>0</v>
      </c>
      <c r="S2">
        <f>BDH("RGP US Equity","BS_ACCT_NOTE_RCV","1993-06-18","2026-05-02","Per=Y","Days=T","Dir=V")</f>
        <v>0</v>
      </c>
      <c r="U2">
        <f>BDH("RGP US Equity","BS_INVENTORIES","1993-06-18","2026-05-02","Per=Y","Days=T","Dir=V")</f>
        <v>0</v>
      </c>
      <c r="W2">
        <f>BDH("RGP US Equity","WORKING_CAPITAL","1993-06-18","2026-05-02","Per=Y","Days=T","Dir=V")</f>
        <v>0</v>
      </c>
      <c r="Y2">
        <f>BDH("RGP US Equity","SALES_REV_TURN","1993-06-18","2026-05-02","Per=Y","Days=T","Dir=V")</f>
        <v>0</v>
      </c>
      <c r="AA2">
        <f>BDH("RGP US Equity","EBIT","1993-06-18","2026-05-02","Per=Y","Days=T","Dir=V")</f>
        <v>0</v>
      </c>
      <c r="AC2">
        <f>BDH("RGP US Equity","EBITDA","1993-06-18","2026-05-02","Per=Y","Days=T","Dir=V")</f>
        <v>0</v>
      </c>
      <c r="AE2">
        <f>BDH("RGP US Equity","NET_INCOME","1993-06-18","2026-05-02","Per=Y","Days=T","Dir=V")</f>
        <v>0</v>
      </c>
      <c r="AG2">
        <f>BDH("RGP US Equity","IS_INT_EXPENSE","1993-06-18","2026-05-02","Per=Y","Days=T","Dir=V")</f>
        <v>0</v>
      </c>
      <c r="AI2">
        <f>BDH("RGP US Equity","IS_DEPR_EXP","1993-06-18","2026-05-02","Per=Y","Days=T","Dir=V")</f>
        <v>0</v>
      </c>
      <c r="AK2">
        <f>BDH("RGP US Equity","CF_CASH_FROM_OPER","1993-06-18","2026-05-02","Per=Y","Days=T","Dir=V")</f>
        <v>0</v>
      </c>
      <c r="AM2">
        <f>BDH("RGP US Equity","CAPITAL_EXPEND","1993-06-18","2026-05-02","Per=Y","Days=T","Dir=V")</f>
        <v>0</v>
      </c>
      <c r="AO2">
        <f>BDH("RGP US Equity","CF_FREE_CASH_FLOW","1993-06-18","2026-05-02","Per=Y","Days=T","Dir=V")</f>
        <v>0</v>
      </c>
      <c r="AQ2">
        <f>BDH("RGP US Equity","PX_LAST","1993-06-18","2026-05-02","Per=M","Days=T","Dir=V")</f>
        <v>0</v>
      </c>
      <c r="AS2">
        <f>BDH("RGP US Equity","CUR_MKT_CAP","1993-06-18","2026-05-02","Per=M","Days=T","Dir=V")</f>
        <v>0</v>
      </c>
      <c r="AU2">
        <f>BDH("RGP US Equity","EQY_SH_OUT","1993-06-18","2026-05-02","Per=M","Days=T","Dir=V")</f>
        <v>0</v>
      </c>
      <c r="AW2">
        <f>BDH("RGP US Equity","PX_VOLUME","1993-06-18","2026-05-02","Per=M","Days=T","Dir=V")</f>
        <v>0</v>
      </c>
      <c r="AY2">
        <f>BDH("RGP US Equity","TURNOVER","1993-06-18","2026-05-02","Per=M","Days=T","Dir=V")</f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BDH("RGR US Equity","BS_TOT_ASSET","1993-06-18","2026-05-02","Per=Y","Days=T","Dir=V")</f>
        <v>0</v>
      </c>
      <c r="C2">
        <f>BDH("RGR US Equity","BS_TOT_LIAB2","1993-06-18","2026-05-02","Per=Y","Days=T","Dir=V")</f>
        <v>0</v>
      </c>
      <c r="E2">
        <f>BDH("RGR US Equity","SHORT_AND_LONG_TERM_DEBT","1993-06-18","2026-05-02","Per=Y","Days=T","Dir=V")</f>
        <v>0</v>
      </c>
      <c r="G2">
        <f>BDH("RGR US Equity","BS_ST_BORROW","1993-06-18","2026-05-02","Per=Y","Days=T","Dir=V")</f>
        <v>0</v>
      </c>
      <c r="I2">
        <f>BDH("RGR US Equity","BS_LT_BORROW","1993-06-18","2026-05-02","Per=Y","Days=T","Dir=V")</f>
        <v>0</v>
      </c>
      <c r="K2">
        <f>BDH("RGR US Equity","BS_CASH_NEAR_CASH_ITEM","1993-06-18","2026-05-02","Per=Y","Days=T","Dir=V")</f>
        <v>0</v>
      </c>
      <c r="M2">
        <f>BDH("RGR US Equity","BS_CUR_ASSET_REPORT","1993-06-18","2026-05-02","Per=Y","Days=T","Dir=V")</f>
        <v>0</v>
      </c>
      <c r="O2">
        <f>BDH("RGR US Equity","BS_CUR_LIAB","1993-06-18","2026-05-02","Per=Y","Days=T","Dir=V")</f>
        <v>0</v>
      </c>
      <c r="Q2">
        <f>BDH("RGR US Equity","BS_SHAREHOLDER_EQY_ENDING_PERIOD","1993-06-18","2026-05-02","Per=Y","Days=T","Dir=V")</f>
        <v>0</v>
      </c>
      <c r="S2">
        <f>BDH("RGR US Equity","BS_ACCT_NOTE_RCV","1993-06-18","2026-05-02","Per=Y","Days=T","Dir=V")</f>
        <v>0</v>
      </c>
      <c r="U2">
        <f>BDH("RGR US Equity","BS_INVENTORIES","1993-06-18","2026-05-02","Per=Y","Days=T","Dir=V")</f>
        <v>0</v>
      </c>
      <c r="W2">
        <f>BDH("RGR US Equity","WORKING_CAPITAL","1993-06-18","2026-05-02","Per=Y","Days=T","Dir=V")</f>
        <v>0</v>
      </c>
      <c r="Y2">
        <f>BDH("RGR US Equity","SALES_REV_TURN","1993-06-18","2026-05-02","Per=Y","Days=T","Dir=V")</f>
        <v>0</v>
      </c>
      <c r="AA2">
        <f>BDH("RGR US Equity","EBIT","1993-06-18","2026-05-02","Per=Y","Days=T","Dir=V")</f>
        <v>0</v>
      </c>
      <c r="AC2">
        <f>BDH("RGR US Equity","EBITDA","1993-06-18","2026-05-02","Per=Y","Days=T","Dir=V")</f>
        <v>0</v>
      </c>
      <c r="AE2">
        <f>BDH("RGR US Equity","NET_INCOME","1993-06-18","2026-05-02","Per=Y","Days=T","Dir=V")</f>
        <v>0</v>
      </c>
      <c r="AG2">
        <f>BDH("RGR US Equity","IS_INT_EXPENSE","1993-06-18","2026-05-02","Per=Y","Days=T","Dir=V")</f>
        <v>0</v>
      </c>
      <c r="AI2">
        <f>BDH("RGR US Equity","IS_DEPR_EXP","1993-06-18","2026-05-02","Per=Y","Days=T","Dir=V")</f>
        <v>0</v>
      </c>
      <c r="AK2">
        <f>BDH("RGR US Equity","CF_CASH_FROM_OPER","1993-06-18","2026-05-02","Per=Y","Days=T","Dir=V")</f>
        <v>0</v>
      </c>
      <c r="AM2">
        <f>BDH("RGR US Equity","CAPITAL_EXPEND","1993-06-18","2026-05-02","Per=Y","Days=T","Dir=V")</f>
        <v>0</v>
      </c>
      <c r="AO2">
        <f>BDH("RGR US Equity","CF_FREE_CASH_FLOW","1993-06-18","2026-05-02","Per=Y","Days=T","Dir=V")</f>
        <v>0</v>
      </c>
      <c r="AQ2">
        <f>BDH("RGR US Equity","PX_LAST","1993-06-18","2026-05-02","Per=M","Days=T","Dir=V")</f>
        <v>0</v>
      </c>
      <c r="AS2">
        <f>BDH("RGR US Equity","CUR_MKT_CAP","1993-06-18","2026-05-02","Per=M","Days=T","Dir=V")</f>
        <v>0</v>
      </c>
      <c r="AU2">
        <f>BDH("RGR US Equity","EQY_SH_OUT","1993-06-18","2026-05-02","Per=M","Days=T","Dir=V")</f>
        <v>0</v>
      </c>
      <c r="AW2">
        <f>BDH("RGR US Equity","PX_VOLUME","1993-06-18","2026-05-02","Per=M","Days=T","Dir=V")</f>
        <v>0</v>
      </c>
      <c r="AY2">
        <f>BDH("RGR US Equity","TURNOVER","1993-06-18","2026-05-02","Per=M","Days=T","Dir=V")</f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BDH("RGS US Equity","BS_TOT_ASSET","1993-06-18","2026-05-02","Per=Y","Days=T","Dir=V")</f>
        <v>0</v>
      </c>
      <c r="C2">
        <f>BDH("RGS US Equity","BS_TOT_LIAB2","1993-06-18","2026-05-02","Per=Y","Days=T","Dir=V")</f>
        <v>0</v>
      </c>
      <c r="E2">
        <f>BDH("RGS US Equity","SHORT_AND_LONG_TERM_DEBT","1993-06-18","2026-05-02","Per=Y","Days=T","Dir=V")</f>
        <v>0</v>
      </c>
      <c r="G2">
        <f>BDH("RGS US Equity","BS_ST_BORROW","1993-06-18","2026-05-02","Per=Y","Days=T","Dir=V")</f>
        <v>0</v>
      </c>
      <c r="I2">
        <f>BDH("RGS US Equity","BS_LT_BORROW","1993-06-18","2026-05-02","Per=Y","Days=T","Dir=V")</f>
        <v>0</v>
      </c>
      <c r="K2">
        <f>BDH("RGS US Equity","BS_CASH_NEAR_CASH_ITEM","1993-06-18","2026-05-02","Per=Y","Days=T","Dir=V")</f>
        <v>0</v>
      </c>
      <c r="M2">
        <f>BDH("RGS US Equity","BS_CUR_ASSET_REPORT","1993-06-18","2026-05-02","Per=Y","Days=T","Dir=V")</f>
        <v>0</v>
      </c>
      <c r="O2">
        <f>BDH("RGS US Equity","BS_CUR_LIAB","1993-06-18","2026-05-02","Per=Y","Days=T","Dir=V")</f>
        <v>0</v>
      </c>
      <c r="Q2">
        <f>BDH("RGS US Equity","BS_SHAREHOLDER_EQY_ENDING_PERIOD","1993-06-18","2026-05-02","Per=Y","Days=T","Dir=V")</f>
        <v>0</v>
      </c>
      <c r="S2">
        <f>BDH("RGS US Equity","BS_ACCT_NOTE_RCV","1993-06-18","2026-05-02","Per=Y","Days=T","Dir=V")</f>
        <v>0</v>
      </c>
      <c r="U2">
        <f>BDH("RGS US Equity","BS_INVENTORIES","1993-06-18","2026-05-02","Per=Y","Days=T","Dir=V")</f>
        <v>0</v>
      </c>
      <c r="W2">
        <f>BDH("RGS US Equity","WORKING_CAPITAL","1993-06-18","2026-05-02","Per=Y","Days=T","Dir=V")</f>
        <v>0</v>
      </c>
      <c r="Y2">
        <f>BDH("RGS US Equity","SALES_REV_TURN","1993-06-18","2026-05-02","Per=Y","Days=T","Dir=V")</f>
        <v>0</v>
      </c>
      <c r="AA2">
        <f>BDH("RGS US Equity","EBIT","1993-06-18","2026-05-02","Per=Y","Days=T","Dir=V")</f>
        <v>0</v>
      </c>
      <c r="AC2">
        <f>BDH("RGS US Equity","EBITDA","1993-06-18","2026-05-02","Per=Y","Days=T","Dir=V")</f>
        <v>0</v>
      </c>
      <c r="AE2">
        <f>BDH("RGS US Equity","NET_INCOME","1993-06-18","2026-05-02","Per=Y","Days=T","Dir=V")</f>
        <v>0</v>
      </c>
      <c r="AG2">
        <f>BDH("RGS US Equity","IS_INT_EXPENSE","1993-06-18","2026-05-02","Per=Y","Days=T","Dir=V")</f>
        <v>0</v>
      </c>
      <c r="AI2">
        <f>BDH("RGS US Equity","IS_DEPR_EXP","1993-06-18","2026-05-02","Per=Y","Days=T","Dir=V")</f>
        <v>0</v>
      </c>
      <c r="AK2">
        <f>BDH("RGS US Equity","CF_CASH_FROM_OPER","1993-06-18","2026-05-02","Per=Y","Days=T","Dir=V")</f>
        <v>0</v>
      </c>
      <c r="AM2">
        <f>BDH("RGS US Equity","CAPITAL_EXPEND","1993-06-18","2026-05-02","Per=Y","Days=T","Dir=V")</f>
        <v>0</v>
      </c>
      <c r="AO2">
        <f>BDH("RGS US Equity","CF_FREE_CASH_FLOW","1993-06-18","2026-05-02","Per=Y","Days=T","Dir=V")</f>
        <v>0</v>
      </c>
      <c r="AQ2">
        <f>BDH("RGS US Equity","PX_LAST","1993-06-18","2026-05-02","Per=M","Days=T","Dir=V")</f>
        <v>0</v>
      </c>
      <c r="AS2">
        <f>BDH("RGS US Equity","CUR_MKT_CAP","1993-06-18","2026-05-02","Per=M","Days=T","Dir=V")</f>
        <v>0</v>
      </c>
      <c r="AU2">
        <f>BDH("RGS US Equity","EQY_SH_OUT","1993-06-18","2026-05-02","Per=M","Days=T","Dir=V")</f>
        <v>0</v>
      </c>
      <c r="AW2">
        <f>BDH("RGS US Equity","PX_VOLUME","1993-06-18","2026-05-02","Per=M","Days=T","Dir=V")</f>
        <v>0</v>
      </c>
      <c r="AY2">
        <f>BDH("RGS US Equity","TURNOVER","1993-06-18","2026-05-02","Per=M","Days=T","Dir=V")</f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BDH("RGTI US Equity","BS_TOT_ASSET","1993-06-18","2026-05-02","Per=Y","Days=T","Dir=V")</f>
        <v>0</v>
      </c>
      <c r="C2">
        <f>BDH("RGTI US Equity","BS_TOT_LIAB2","1993-06-18","2026-05-02","Per=Y","Days=T","Dir=V")</f>
        <v>0</v>
      </c>
      <c r="E2">
        <f>BDH("RGTI US Equity","SHORT_AND_LONG_TERM_DEBT","1993-06-18","2026-05-02","Per=Y","Days=T","Dir=V")</f>
        <v>0</v>
      </c>
      <c r="G2">
        <f>BDH("RGTI US Equity","BS_ST_BORROW","1993-06-18","2026-05-02","Per=Y","Days=T","Dir=V")</f>
        <v>0</v>
      </c>
      <c r="I2">
        <f>BDH("RGTI US Equity","BS_LT_BORROW","1993-06-18","2026-05-02","Per=Y","Days=T","Dir=V")</f>
        <v>0</v>
      </c>
      <c r="K2">
        <f>BDH("RGTI US Equity","BS_CASH_NEAR_CASH_ITEM","1993-06-18","2026-05-02","Per=Y","Days=T","Dir=V")</f>
        <v>0</v>
      </c>
      <c r="M2">
        <f>BDH("RGTI US Equity","BS_CUR_ASSET_REPORT","1993-06-18","2026-05-02","Per=Y","Days=T","Dir=V")</f>
        <v>0</v>
      </c>
      <c r="O2">
        <f>BDH("RGTI US Equity","BS_CUR_LIAB","1993-06-18","2026-05-02","Per=Y","Days=T","Dir=V")</f>
        <v>0</v>
      </c>
      <c r="Q2">
        <f>BDH("RGTI US Equity","BS_SHAREHOLDER_EQY_ENDING_PERIOD","1993-06-18","2026-05-02","Per=Y","Days=T","Dir=V")</f>
        <v>0</v>
      </c>
      <c r="S2">
        <f>BDH("RGTI US Equity","BS_ACCT_NOTE_RCV","1993-06-18","2026-05-02","Per=Y","Days=T","Dir=V")</f>
        <v>0</v>
      </c>
      <c r="U2">
        <f>BDH("RGTI US Equity","BS_INVENTORIES","1993-06-18","2026-05-02","Per=Y","Days=T","Dir=V")</f>
        <v>0</v>
      </c>
      <c r="W2">
        <f>BDH("RGTI US Equity","WORKING_CAPITAL","1993-06-18","2026-05-02","Per=Y","Days=T","Dir=V")</f>
        <v>0</v>
      </c>
      <c r="Y2">
        <f>BDH("RGTI US Equity","SALES_REV_TURN","1993-06-18","2026-05-02","Per=Y","Days=T","Dir=V")</f>
        <v>0</v>
      </c>
      <c r="AA2">
        <f>BDH("RGTI US Equity","EBIT","1993-06-18","2026-05-02","Per=Y","Days=T","Dir=V")</f>
        <v>0</v>
      </c>
      <c r="AC2">
        <f>BDH("RGTI US Equity","EBITDA","1993-06-18","2026-05-02","Per=Y","Days=T","Dir=V")</f>
        <v>0</v>
      </c>
      <c r="AE2">
        <f>BDH("RGTI US Equity","NET_INCOME","1993-06-18","2026-05-02","Per=Y","Days=T","Dir=V")</f>
        <v>0</v>
      </c>
      <c r="AG2">
        <f>BDH("RGTI US Equity","IS_INT_EXPENSE","1993-06-18","2026-05-02","Per=Y","Days=T","Dir=V")</f>
        <v>0</v>
      </c>
      <c r="AI2">
        <f>BDH("RGTI US Equity","IS_DEPR_EXP","1993-06-18","2026-05-02","Per=Y","Days=T","Dir=V")</f>
        <v>0</v>
      </c>
      <c r="AK2">
        <f>BDH("RGTI US Equity","CF_CASH_FROM_OPER","1993-06-18","2026-05-02","Per=Y","Days=T","Dir=V")</f>
        <v>0</v>
      </c>
      <c r="AM2">
        <f>BDH("RGTI US Equity","CAPITAL_EXPEND","1993-06-18","2026-05-02","Per=Y","Days=T","Dir=V")</f>
        <v>0</v>
      </c>
      <c r="AO2">
        <f>BDH("RGTI US Equity","CF_FREE_CASH_FLOW","1993-06-18","2026-05-02","Per=Y","Days=T","Dir=V")</f>
        <v>0</v>
      </c>
      <c r="AQ2">
        <f>BDH("RGTI US Equity","PX_LAST","1993-06-18","2026-05-02","Per=M","Days=T","Dir=V")</f>
        <v>0</v>
      </c>
      <c r="AS2">
        <f>BDH("RGTI US Equity","CUR_MKT_CAP","1993-06-18","2026-05-02","Per=M","Days=T","Dir=V")</f>
        <v>0</v>
      </c>
      <c r="AU2">
        <f>BDH("RGTI US Equity","EQY_SH_OUT","1993-06-18","2026-05-02","Per=M","Days=T","Dir=V")</f>
        <v>0</v>
      </c>
      <c r="AW2">
        <f>BDH("RGTI US Equity","PX_VOLUME","1993-06-18","2026-05-02","Per=M","Days=T","Dir=V")</f>
        <v>0</v>
      </c>
      <c r="AY2">
        <f>BDH("RGTI US Equity","TURNOVER","1993-06-18","2026-05-02","Per=M","Days=T","Dir=V")</f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BDH("RGTIW US Equity","BS_TOT_ASSET","1993-06-18","2026-05-02","Per=Y","Days=T","Dir=V")</f>
        <v>0</v>
      </c>
      <c r="C2">
        <f>BDH("RGTIW US Equity","BS_TOT_LIAB2","1993-06-18","2026-05-02","Per=Y","Days=T","Dir=V")</f>
        <v>0</v>
      </c>
      <c r="E2">
        <f>BDH("RGTIW US Equity","SHORT_AND_LONG_TERM_DEBT","1993-06-18","2026-05-02","Per=Y","Days=T","Dir=V")</f>
        <v>0</v>
      </c>
      <c r="G2">
        <f>BDH("RGTIW US Equity","BS_ST_BORROW","1993-06-18","2026-05-02","Per=Y","Days=T","Dir=V")</f>
        <v>0</v>
      </c>
      <c r="I2">
        <f>BDH("RGTIW US Equity","BS_LT_BORROW","1993-06-18","2026-05-02","Per=Y","Days=T","Dir=V")</f>
        <v>0</v>
      </c>
      <c r="K2">
        <f>BDH("RGTIW US Equity","BS_CASH_NEAR_CASH_ITEM","1993-06-18","2026-05-02","Per=Y","Days=T","Dir=V")</f>
        <v>0</v>
      </c>
      <c r="M2">
        <f>BDH("RGTIW US Equity","BS_CUR_ASSET_REPORT","1993-06-18","2026-05-02","Per=Y","Days=T","Dir=V")</f>
        <v>0</v>
      </c>
      <c r="O2">
        <f>BDH("RGTIW US Equity","BS_CUR_LIAB","1993-06-18","2026-05-02","Per=Y","Days=T","Dir=V")</f>
        <v>0</v>
      </c>
      <c r="Q2">
        <f>BDH("RGTIW US Equity","BS_SHAREHOLDER_EQY_ENDING_PERIOD","1993-06-18","2026-05-02","Per=Y","Days=T","Dir=V")</f>
        <v>0</v>
      </c>
      <c r="S2">
        <f>BDH("RGTIW US Equity","BS_ACCT_NOTE_RCV","1993-06-18","2026-05-02","Per=Y","Days=T","Dir=V")</f>
        <v>0</v>
      </c>
      <c r="U2">
        <f>BDH("RGTIW US Equity","BS_INVENTORIES","1993-06-18","2026-05-02","Per=Y","Days=T","Dir=V")</f>
        <v>0</v>
      </c>
      <c r="W2">
        <f>BDH("RGTIW US Equity","WORKING_CAPITAL","1993-06-18","2026-05-02","Per=Y","Days=T","Dir=V")</f>
        <v>0</v>
      </c>
      <c r="Y2">
        <f>BDH("RGTIW US Equity","SALES_REV_TURN","1993-06-18","2026-05-02","Per=Y","Days=T","Dir=V")</f>
        <v>0</v>
      </c>
      <c r="AA2">
        <f>BDH("RGTIW US Equity","EBIT","1993-06-18","2026-05-02","Per=Y","Days=T","Dir=V")</f>
        <v>0</v>
      </c>
      <c r="AC2">
        <f>BDH("RGTIW US Equity","EBITDA","1993-06-18","2026-05-02","Per=Y","Days=T","Dir=V")</f>
        <v>0</v>
      </c>
      <c r="AE2">
        <f>BDH("RGTIW US Equity","NET_INCOME","1993-06-18","2026-05-02","Per=Y","Days=T","Dir=V")</f>
        <v>0</v>
      </c>
      <c r="AG2">
        <f>BDH("RGTIW US Equity","IS_INT_EXPENSE","1993-06-18","2026-05-02","Per=Y","Days=T","Dir=V")</f>
        <v>0</v>
      </c>
      <c r="AI2">
        <f>BDH("RGTIW US Equity","IS_DEPR_EXP","1993-06-18","2026-05-02","Per=Y","Days=T","Dir=V")</f>
        <v>0</v>
      </c>
      <c r="AK2">
        <f>BDH("RGTIW US Equity","CF_CASH_FROM_OPER","1993-06-18","2026-05-02","Per=Y","Days=T","Dir=V")</f>
        <v>0</v>
      </c>
      <c r="AM2">
        <f>BDH("RGTIW US Equity","CAPITAL_EXPEND","1993-06-18","2026-05-02","Per=Y","Days=T","Dir=V")</f>
        <v>0</v>
      </c>
      <c r="AO2">
        <f>BDH("RGTIW US Equity","CF_FREE_CASH_FLOW","1993-06-18","2026-05-02","Per=Y","Days=T","Dir=V")</f>
        <v>0</v>
      </c>
      <c r="AQ2">
        <f>BDH("RGTIW US Equity","PX_LAST","1993-06-18","2026-05-02","Per=M","Days=T","Dir=V")</f>
        <v>0</v>
      </c>
      <c r="AS2">
        <f>BDH("RGTIW US Equity","CUR_MKT_CAP","1993-06-18","2026-05-02","Per=M","Days=T","Dir=V")</f>
        <v>0</v>
      </c>
      <c r="AU2">
        <f>BDH("RGTIW US Equity","EQY_SH_OUT","1993-06-18","2026-05-02","Per=M","Days=T","Dir=V")</f>
        <v>0</v>
      </c>
      <c r="AW2">
        <f>BDH("RGTIW US Equity","PX_VOLUME","1993-06-18","2026-05-02","Per=M","Days=T","Dir=V")</f>
        <v>0</v>
      </c>
      <c r="AY2">
        <f>BDH("RGTIW US Equity","TURNOVER","1993-06-18","2026-05-02","Per=M","Days=T","Dir=V")</f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BDH("RH US Equity","BS_TOT_ASSET","1993-06-18","2026-05-02","Per=Y","Days=T","Dir=V")</f>
        <v>0</v>
      </c>
      <c r="C2">
        <f>BDH("RH US Equity","BS_TOT_LIAB2","1993-06-18","2026-05-02","Per=Y","Days=T","Dir=V")</f>
        <v>0</v>
      </c>
      <c r="E2">
        <f>BDH("RH US Equity","SHORT_AND_LONG_TERM_DEBT","1993-06-18","2026-05-02","Per=Y","Days=T","Dir=V")</f>
        <v>0</v>
      </c>
      <c r="G2">
        <f>BDH("RH US Equity","BS_ST_BORROW","1993-06-18","2026-05-02","Per=Y","Days=T","Dir=V")</f>
        <v>0</v>
      </c>
      <c r="I2">
        <f>BDH("RH US Equity","BS_LT_BORROW","1993-06-18","2026-05-02","Per=Y","Days=T","Dir=V")</f>
        <v>0</v>
      </c>
      <c r="K2">
        <f>BDH("RH US Equity","BS_CASH_NEAR_CASH_ITEM","1993-06-18","2026-05-02","Per=Y","Days=T","Dir=V")</f>
        <v>0</v>
      </c>
      <c r="M2">
        <f>BDH("RH US Equity","BS_CUR_ASSET_REPORT","1993-06-18","2026-05-02","Per=Y","Days=T","Dir=V")</f>
        <v>0</v>
      </c>
      <c r="O2">
        <f>BDH("RH US Equity","BS_CUR_LIAB","1993-06-18","2026-05-02","Per=Y","Days=T","Dir=V")</f>
        <v>0</v>
      </c>
      <c r="Q2">
        <f>BDH("RH US Equity","BS_SHAREHOLDER_EQY_ENDING_PERIOD","1993-06-18","2026-05-02","Per=Y","Days=T","Dir=V")</f>
        <v>0</v>
      </c>
      <c r="S2">
        <f>BDH("RH US Equity","BS_ACCT_NOTE_RCV","1993-06-18","2026-05-02","Per=Y","Days=T","Dir=V")</f>
        <v>0</v>
      </c>
      <c r="U2">
        <f>BDH("RH US Equity","BS_INVENTORIES","1993-06-18","2026-05-02","Per=Y","Days=T","Dir=V")</f>
        <v>0</v>
      </c>
      <c r="W2">
        <f>BDH("RH US Equity","WORKING_CAPITAL","1993-06-18","2026-05-02","Per=Y","Days=T","Dir=V")</f>
        <v>0</v>
      </c>
      <c r="Y2">
        <f>BDH("RH US Equity","SALES_REV_TURN","1993-06-18","2026-05-02","Per=Y","Days=T","Dir=V")</f>
        <v>0</v>
      </c>
      <c r="AA2">
        <f>BDH("RH US Equity","EBIT","1993-06-18","2026-05-02","Per=Y","Days=T","Dir=V")</f>
        <v>0</v>
      </c>
      <c r="AC2">
        <f>BDH("RH US Equity","EBITDA","1993-06-18","2026-05-02","Per=Y","Days=T","Dir=V")</f>
        <v>0</v>
      </c>
      <c r="AE2">
        <f>BDH("RH US Equity","NET_INCOME","1993-06-18","2026-05-02","Per=Y","Days=T","Dir=V")</f>
        <v>0</v>
      </c>
      <c r="AG2">
        <f>BDH("RH US Equity","IS_INT_EXPENSE","1993-06-18","2026-05-02","Per=Y","Days=T","Dir=V")</f>
        <v>0</v>
      </c>
      <c r="AI2">
        <f>BDH("RH US Equity","IS_DEPR_EXP","1993-06-18","2026-05-02","Per=Y","Days=T","Dir=V")</f>
        <v>0</v>
      </c>
      <c r="AK2">
        <f>BDH("RH US Equity","CF_CASH_FROM_OPER","1993-06-18","2026-05-02","Per=Y","Days=T","Dir=V")</f>
        <v>0</v>
      </c>
      <c r="AM2">
        <f>BDH("RH US Equity","CAPITAL_EXPEND","1993-06-18","2026-05-02","Per=Y","Days=T","Dir=V")</f>
        <v>0</v>
      </c>
      <c r="AO2">
        <f>BDH("RH US Equity","CF_FREE_CASH_FLOW","1993-06-18","2026-05-02","Per=Y","Days=T","Dir=V")</f>
        <v>0</v>
      </c>
      <c r="AQ2">
        <f>BDH("RH US Equity","PX_LAST","1993-06-18","2026-05-02","Per=M","Days=T","Dir=V")</f>
        <v>0</v>
      </c>
      <c r="AS2">
        <f>BDH("RH US Equity","CUR_MKT_CAP","1993-06-18","2026-05-02","Per=M","Days=T","Dir=V")</f>
        <v>0</v>
      </c>
      <c r="AU2">
        <f>BDH("RH US Equity","EQY_SH_OUT","1993-06-18","2026-05-02","Per=M","Days=T","Dir=V")</f>
        <v>0</v>
      </c>
      <c r="AW2">
        <f>BDH("RH US Equity","PX_VOLUME","1993-06-18","2026-05-02","Per=M","Days=T","Dir=V")</f>
        <v>0</v>
      </c>
      <c r="AY2">
        <f>BDH("RH US Equity","TURNOVER","1993-06-18","2026-05-02","Per=M","Days=T","Dir=V")</f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BDH("RHI US Equity","BS_TOT_ASSET","1993-06-18","2026-05-02","Per=Y","Days=T","Dir=V")</f>
        <v>0</v>
      </c>
      <c r="C2">
        <f>BDH("RHI US Equity","BS_TOT_LIAB2","1993-06-18","2026-05-02","Per=Y","Days=T","Dir=V")</f>
        <v>0</v>
      </c>
      <c r="E2">
        <f>BDH("RHI US Equity","SHORT_AND_LONG_TERM_DEBT","1993-06-18","2026-05-02","Per=Y","Days=T","Dir=V")</f>
        <v>0</v>
      </c>
      <c r="G2">
        <f>BDH("RHI US Equity","BS_ST_BORROW","1993-06-18","2026-05-02","Per=Y","Days=T","Dir=V")</f>
        <v>0</v>
      </c>
      <c r="I2">
        <f>BDH("RHI US Equity","BS_LT_BORROW","1993-06-18","2026-05-02","Per=Y","Days=T","Dir=V")</f>
        <v>0</v>
      </c>
      <c r="K2">
        <f>BDH("RHI US Equity","BS_CASH_NEAR_CASH_ITEM","1993-06-18","2026-05-02","Per=Y","Days=T","Dir=V")</f>
        <v>0</v>
      </c>
      <c r="M2">
        <f>BDH("RHI US Equity","BS_CUR_ASSET_REPORT","1993-06-18","2026-05-02","Per=Y","Days=T","Dir=V")</f>
        <v>0</v>
      </c>
      <c r="O2">
        <f>BDH("RHI US Equity","BS_CUR_LIAB","1993-06-18","2026-05-02","Per=Y","Days=T","Dir=V")</f>
        <v>0</v>
      </c>
      <c r="Q2">
        <f>BDH("RHI US Equity","BS_SHAREHOLDER_EQY_ENDING_PERIOD","1993-06-18","2026-05-02","Per=Y","Days=T","Dir=V")</f>
        <v>0</v>
      </c>
      <c r="S2">
        <f>BDH("RHI US Equity","BS_ACCT_NOTE_RCV","1993-06-18","2026-05-02","Per=Y","Days=T","Dir=V")</f>
        <v>0</v>
      </c>
      <c r="U2">
        <f>BDH("RHI US Equity","BS_INVENTORIES","1993-06-18","2026-05-02","Per=Y","Days=T","Dir=V")</f>
        <v>0</v>
      </c>
      <c r="W2">
        <f>BDH("RHI US Equity","WORKING_CAPITAL","1993-06-18","2026-05-02","Per=Y","Days=T","Dir=V")</f>
        <v>0</v>
      </c>
      <c r="Y2">
        <f>BDH("RHI US Equity","SALES_REV_TURN","1993-06-18","2026-05-02","Per=Y","Days=T","Dir=V")</f>
        <v>0</v>
      </c>
      <c r="AA2">
        <f>BDH("RHI US Equity","EBIT","1993-06-18","2026-05-02","Per=Y","Days=T","Dir=V")</f>
        <v>0</v>
      </c>
      <c r="AC2">
        <f>BDH("RHI US Equity","EBITDA","1993-06-18","2026-05-02","Per=Y","Days=T","Dir=V")</f>
        <v>0</v>
      </c>
      <c r="AE2">
        <f>BDH("RHI US Equity","NET_INCOME","1993-06-18","2026-05-02","Per=Y","Days=T","Dir=V")</f>
        <v>0</v>
      </c>
      <c r="AG2">
        <f>BDH("RHI US Equity","IS_INT_EXPENSE","1993-06-18","2026-05-02","Per=Y","Days=T","Dir=V")</f>
        <v>0</v>
      </c>
      <c r="AI2">
        <f>BDH("RHI US Equity","IS_DEPR_EXP","1993-06-18","2026-05-02","Per=Y","Days=T","Dir=V")</f>
        <v>0</v>
      </c>
      <c r="AK2">
        <f>BDH("RHI US Equity","CF_CASH_FROM_OPER","1993-06-18","2026-05-02","Per=Y","Days=T","Dir=V")</f>
        <v>0</v>
      </c>
      <c r="AM2">
        <f>BDH("RHI US Equity","CAPITAL_EXPEND","1993-06-18","2026-05-02","Per=Y","Days=T","Dir=V")</f>
        <v>0</v>
      </c>
      <c r="AO2">
        <f>BDH("RHI US Equity","CF_FREE_CASH_FLOW","1993-06-18","2026-05-02","Per=Y","Days=T","Dir=V")</f>
        <v>0</v>
      </c>
      <c r="AQ2">
        <f>BDH("RHI US Equity","PX_LAST","1993-06-18","2026-05-02","Per=M","Days=T","Dir=V")</f>
        <v>0</v>
      </c>
      <c r="AS2">
        <f>BDH("RHI US Equity","CUR_MKT_CAP","1993-06-18","2026-05-02","Per=M","Days=T","Dir=V")</f>
        <v>0</v>
      </c>
      <c r="AU2">
        <f>BDH("RHI US Equity","EQY_SH_OUT","1993-06-18","2026-05-02","Per=M","Days=T","Dir=V")</f>
        <v>0</v>
      </c>
      <c r="AW2">
        <f>BDH("RHI US Equity","PX_VOLUME","1993-06-18","2026-05-02","Per=M","Days=T","Dir=V")</f>
        <v>0</v>
      </c>
      <c r="AY2">
        <f>BDH("RHI US Equity","TURNOVER","1993-06-18","2026-05-02","Per=M","Days=T","Dir=V")</f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BDH("RICK US Equity","BS_TOT_ASSET","1993-06-18","2026-05-02","Per=Y","Days=T","Dir=V")</f>
        <v>0</v>
      </c>
      <c r="C2">
        <f>BDH("RICK US Equity","BS_TOT_LIAB2","1993-06-18","2026-05-02","Per=Y","Days=T","Dir=V")</f>
        <v>0</v>
      </c>
      <c r="E2">
        <f>BDH("RICK US Equity","SHORT_AND_LONG_TERM_DEBT","1993-06-18","2026-05-02","Per=Y","Days=T","Dir=V")</f>
        <v>0</v>
      </c>
      <c r="G2">
        <f>BDH("RICK US Equity","BS_ST_BORROW","1993-06-18","2026-05-02","Per=Y","Days=T","Dir=V")</f>
        <v>0</v>
      </c>
      <c r="I2">
        <f>BDH("RICK US Equity","BS_LT_BORROW","1993-06-18","2026-05-02","Per=Y","Days=T","Dir=V")</f>
        <v>0</v>
      </c>
      <c r="K2">
        <f>BDH("RICK US Equity","BS_CASH_NEAR_CASH_ITEM","1993-06-18","2026-05-02","Per=Y","Days=T","Dir=V")</f>
        <v>0</v>
      </c>
      <c r="M2">
        <f>BDH("RICK US Equity","BS_CUR_ASSET_REPORT","1993-06-18","2026-05-02","Per=Y","Days=T","Dir=V")</f>
        <v>0</v>
      </c>
      <c r="O2">
        <f>BDH("RICK US Equity","BS_CUR_LIAB","1993-06-18","2026-05-02","Per=Y","Days=T","Dir=V")</f>
        <v>0</v>
      </c>
      <c r="Q2">
        <f>BDH("RICK US Equity","BS_SHAREHOLDER_EQY_ENDING_PERIOD","1993-06-18","2026-05-02","Per=Y","Days=T","Dir=V")</f>
        <v>0</v>
      </c>
      <c r="S2">
        <f>BDH("RICK US Equity","BS_ACCT_NOTE_RCV","1993-06-18","2026-05-02","Per=Y","Days=T","Dir=V")</f>
        <v>0</v>
      </c>
      <c r="U2">
        <f>BDH("RICK US Equity","BS_INVENTORIES","1993-06-18","2026-05-02","Per=Y","Days=T","Dir=V")</f>
        <v>0</v>
      </c>
      <c r="W2">
        <f>BDH("RICK US Equity","WORKING_CAPITAL","1993-06-18","2026-05-02","Per=Y","Days=T","Dir=V")</f>
        <v>0</v>
      </c>
      <c r="Y2">
        <f>BDH("RICK US Equity","SALES_REV_TURN","1993-06-18","2026-05-02","Per=Y","Days=T","Dir=V")</f>
        <v>0</v>
      </c>
      <c r="AA2">
        <f>BDH("RICK US Equity","EBIT","1993-06-18","2026-05-02","Per=Y","Days=T","Dir=V")</f>
        <v>0</v>
      </c>
      <c r="AC2">
        <f>BDH("RICK US Equity","EBITDA","1993-06-18","2026-05-02","Per=Y","Days=T","Dir=V")</f>
        <v>0</v>
      </c>
      <c r="AE2">
        <f>BDH("RICK US Equity","NET_INCOME","1993-06-18","2026-05-02","Per=Y","Days=T","Dir=V")</f>
        <v>0</v>
      </c>
      <c r="AG2">
        <f>BDH("RICK US Equity","IS_INT_EXPENSE","1993-06-18","2026-05-02","Per=Y","Days=T","Dir=V")</f>
        <v>0</v>
      </c>
      <c r="AI2">
        <f>BDH("RICK US Equity","IS_DEPR_EXP","1993-06-18","2026-05-02","Per=Y","Days=T","Dir=V")</f>
        <v>0</v>
      </c>
      <c r="AK2">
        <f>BDH("RICK US Equity","CF_CASH_FROM_OPER","1993-06-18","2026-05-02","Per=Y","Days=T","Dir=V")</f>
        <v>0</v>
      </c>
      <c r="AM2">
        <f>BDH("RICK US Equity","CAPITAL_EXPEND","1993-06-18","2026-05-02","Per=Y","Days=T","Dir=V")</f>
        <v>0</v>
      </c>
      <c r="AO2">
        <f>BDH("RICK US Equity","CF_FREE_CASH_FLOW","1993-06-18","2026-05-02","Per=Y","Days=T","Dir=V")</f>
        <v>0</v>
      </c>
      <c r="AQ2">
        <f>BDH("RICK US Equity","PX_LAST","1993-06-18","2026-05-02","Per=M","Days=T","Dir=V")</f>
        <v>0</v>
      </c>
      <c r="AS2">
        <f>BDH("RICK US Equity","CUR_MKT_CAP","1993-06-18","2026-05-02","Per=M","Days=T","Dir=V")</f>
        <v>0</v>
      </c>
      <c r="AU2">
        <f>BDH("RICK US Equity","EQY_SH_OUT","1993-06-18","2026-05-02","Per=M","Days=T","Dir=V")</f>
        <v>0</v>
      </c>
      <c r="AW2">
        <f>BDH("RICK US Equity","PX_VOLUME","1993-06-18","2026-05-02","Per=M","Days=T","Dir=V")</f>
        <v>0</v>
      </c>
      <c r="AY2">
        <f>BDH("RICK US Equity","TURNOVER","1993-06-18","2026-05-02","Per=M","Days=T","Dir=V")</f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BDH("RIGL US Equity","BS_TOT_ASSET","1993-06-18","2026-05-02","Per=Y","Days=T","Dir=V")</f>
        <v>0</v>
      </c>
      <c r="C2">
        <f>BDH("RIGL US Equity","BS_TOT_LIAB2","1993-06-18","2026-05-02","Per=Y","Days=T","Dir=V")</f>
        <v>0</v>
      </c>
      <c r="E2">
        <f>BDH("RIGL US Equity","SHORT_AND_LONG_TERM_DEBT","1993-06-18","2026-05-02","Per=Y","Days=T","Dir=V")</f>
        <v>0</v>
      </c>
      <c r="G2">
        <f>BDH("RIGL US Equity","BS_ST_BORROW","1993-06-18","2026-05-02","Per=Y","Days=T","Dir=V")</f>
        <v>0</v>
      </c>
      <c r="I2">
        <f>BDH("RIGL US Equity","BS_LT_BORROW","1993-06-18","2026-05-02","Per=Y","Days=T","Dir=V")</f>
        <v>0</v>
      </c>
      <c r="K2">
        <f>BDH("RIGL US Equity","BS_CASH_NEAR_CASH_ITEM","1993-06-18","2026-05-02","Per=Y","Days=T","Dir=V")</f>
        <v>0</v>
      </c>
      <c r="M2">
        <f>BDH("RIGL US Equity","BS_CUR_ASSET_REPORT","1993-06-18","2026-05-02","Per=Y","Days=T","Dir=V")</f>
        <v>0</v>
      </c>
      <c r="O2">
        <f>BDH("RIGL US Equity","BS_CUR_LIAB","1993-06-18","2026-05-02","Per=Y","Days=T","Dir=V")</f>
        <v>0</v>
      </c>
      <c r="Q2">
        <f>BDH("RIGL US Equity","BS_SHAREHOLDER_EQY_ENDING_PERIOD","1993-06-18","2026-05-02","Per=Y","Days=T","Dir=V")</f>
        <v>0</v>
      </c>
      <c r="S2">
        <f>BDH("RIGL US Equity","BS_ACCT_NOTE_RCV","1993-06-18","2026-05-02","Per=Y","Days=T","Dir=V")</f>
        <v>0</v>
      </c>
      <c r="U2">
        <f>BDH("RIGL US Equity","BS_INVENTORIES","1993-06-18","2026-05-02","Per=Y","Days=T","Dir=V")</f>
        <v>0</v>
      </c>
      <c r="W2">
        <f>BDH("RIGL US Equity","WORKING_CAPITAL","1993-06-18","2026-05-02","Per=Y","Days=T","Dir=V")</f>
        <v>0</v>
      </c>
      <c r="Y2">
        <f>BDH("RIGL US Equity","SALES_REV_TURN","1993-06-18","2026-05-02","Per=Y","Days=T","Dir=V")</f>
        <v>0</v>
      </c>
      <c r="AA2">
        <f>BDH("RIGL US Equity","EBIT","1993-06-18","2026-05-02","Per=Y","Days=T","Dir=V")</f>
        <v>0</v>
      </c>
      <c r="AC2">
        <f>BDH("RIGL US Equity","EBITDA","1993-06-18","2026-05-02","Per=Y","Days=T","Dir=V")</f>
        <v>0</v>
      </c>
      <c r="AE2">
        <f>BDH("RIGL US Equity","NET_INCOME","1993-06-18","2026-05-02","Per=Y","Days=T","Dir=V")</f>
        <v>0</v>
      </c>
      <c r="AG2">
        <f>BDH("RIGL US Equity","IS_INT_EXPENSE","1993-06-18","2026-05-02","Per=Y","Days=T","Dir=V")</f>
        <v>0</v>
      </c>
      <c r="AI2">
        <f>BDH("RIGL US Equity","IS_DEPR_EXP","1993-06-18","2026-05-02","Per=Y","Days=T","Dir=V")</f>
        <v>0</v>
      </c>
      <c r="AK2">
        <f>BDH("RIGL US Equity","CF_CASH_FROM_OPER","1993-06-18","2026-05-02","Per=Y","Days=T","Dir=V")</f>
        <v>0</v>
      </c>
      <c r="AM2">
        <f>BDH("RIGL US Equity","CAPITAL_EXPEND","1993-06-18","2026-05-02","Per=Y","Days=T","Dir=V")</f>
        <v>0</v>
      </c>
      <c r="AO2">
        <f>BDH("RIGL US Equity","CF_FREE_CASH_FLOW","1993-06-18","2026-05-02","Per=Y","Days=T","Dir=V")</f>
        <v>0</v>
      </c>
      <c r="AQ2">
        <f>BDH("RIGL US Equity","PX_LAST","1993-06-18","2026-05-02","Per=M","Days=T","Dir=V")</f>
        <v>0</v>
      </c>
      <c r="AS2">
        <f>BDH("RIGL US Equity","CUR_MKT_CAP","1993-06-18","2026-05-02","Per=M","Days=T","Dir=V")</f>
        <v>0</v>
      </c>
      <c r="AU2">
        <f>BDH("RIGL US Equity","EQY_SH_OUT","1993-06-18","2026-05-02","Per=M","Days=T","Dir=V")</f>
        <v>0</v>
      </c>
      <c r="AW2">
        <f>BDH("RIGL US Equity","PX_VOLUME","1993-06-18","2026-05-02","Per=M","Days=T","Dir=V")</f>
        <v>0</v>
      </c>
      <c r="AY2">
        <f>BDH("RIGL US Equity","TURNOVER","1993-06-18","2026-05-02","Per=M","Days=T","Dir=V")</f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BDH("RIME US Equity","BS_TOT_ASSET","1993-06-18","2026-05-02","Per=Y","Days=T","Dir=V")</f>
        <v>0</v>
      </c>
      <c r="C2">
        <f>BDH("RIME US Equity","BS_TOT_LIAB2","1993-06-18","2026-05-02","Per=Y","Days=T","Dir=V")</f>
        <v>0</v>
      </c>
      <c r="E2">
        <f>BDH("RIME US Equity","SHORT_AND_LONG_TERM_DEBT","1993-06-18","2026-05-02","Per=Y","Days=T","Dir=V")</f>
        <v>0</v>
      </c>
      <c r="G2">
        <f>BDH("RIME US Equity","BS_ST_BORROW","1993-06-18","2026-05-02","Per=Y","Days=T","Dir=V")</f>
        <v>0</v>
      </c>
      <c r="I2">
        <f>BDH("RIME US Equity","BS_LT_BORROW","1993-06-18","2026-05-02","Per=Y","Days=T","Dir=V")</f>
        <v>0</v>
      </c>
      <c r="K2">
        <f>BDH("RIME US Equity","BS_CASH_NEAR_CASH_ITEM","1993-06-18","2026-05-02","Per=Y","Days=T","Dir=V")</f>
        <v>0</v>
      </c>
      <c r="M2">
        <f>BDH("RIME US Equity","BS_CUR_ASSET_REPORT","1993-06-18","2026-05-02","Per=Y","Days=T","Dir=V")</f>
        <v>0</v>
      </c>
      <c r="O2">
        <f>BDH("RIME US Equity","BS_CUR_LIAB","1993-06-18","2026-05-02","Per=Y","Days=T","Dir=V")</f>
        <v>0</v>
      </c>
      <c r="Q2">
        <f>BDH("RIME US Equity","BS_SHAREHOLDER_EQY_ENDING_PERIOD","1993-06-18","2026-05-02","Per=Y","Days=T","Dir=V")</f>
        <v>0</v>
      </c>
      <c r="S2">
        <f>BDH("RIME US Equity","BS_ACCT_NOTE_RCV","1993-06-18","2026-05-02","Per=Y","Days=T","Dir=V")</f>
        <v>0</v>
      </c>
      <c r="U2">
        <f>BDH("RIME US Equity","BS_INVENTORIES","1993-06-18","2026-05-02","Per=Y","Days=T","Dir=V")</f>
        <v>0</v>
      </c>
      <c r="W2">
        <f>BDH("RIME US Equity","WORKING_CAPITAL","1993-06-18","2026-05-02","Per=Y","Days=T","Dir=V")</f>
        <v>0</v>
      </c>
      <c r="Y2">
        <f>BDH("RIME US Equity","SALES_REV_TURN","1993-06-18","2026-05-02","Per=Y","Days=T","Dir=V")</f>
        <v>0</v>
      </c>
      <c r="AA2">
        <f>BDH("RIME US Equity","EBIT","1993-06-18","2026-05-02","Per=Y","Days=T","Dir=V")</f>
        <v>0</v>
      </c>
      <c r="AC2">
        <f>BDH("RIME US Equity","EBITDA","1993-06-18","2026-05-02","Per=Y","Days=T","Dir=V")</f>
        <v>0</v>
      </c>
      <c r="AE2">
        <f>BDH("RIME US Equity","NET_INCOME","1993-06-18","2026-05-02","Per=Y","Days=T","Dir=V")</f>
        <v>0</v>
      </c>
      <c r="AG2">
        <f>BDH("RIME US Equity","IS_INT_EXPENSE","1993-06-18","2026-05-02","Per=Y","Days=T","Dir=V")</f>
        <v>0</v>
      </c>
      <c r="AI2">
        <f>BDH("RIME US Equity","IS_DEPR_EXP","1993-06-18","2026-05-02","Per=Y","Days=T","Dir=V")</f>
        <v>0</v>
      </c>
      <c r="AK2">
        <f>BDH("RIME US Equity","CF_CASH_FROM_OPER","1993-06-18","2026-05-02","Per=Y","Days=T","Dir=V")</f>
        <v>0</v>
      </c>
      <c r="AM2">
        <f>BDH("RIME US Equity","CAPITAL_EXPEND","1993-06-18","2026-05-02","Per=Y","Days=T","Dir=V")</f>
        <v>0</v>
      </c>
      <c r="AO2">
        <f>BDH("RIME US Equity","CF_FREE_CASH_FLOW","1993-06-18","2026-05-02","Per=Y","Days=T","Dir=V")</f>
        <v>0</v>
      </c>
      <c r="AQ2">
        <f>BDH("RIME US Equity","PX_LAST","1993-06-18","2026-05-02","Per=M","Days=T","Dir=V")</f>
        <v>0</v>
      </c>
      <c r="AS2">
        <f>BDH("RIME US Equity","CUR_MKT_CAP","1993-06-18","2026-05-02","Per=M","Days=T","Dir=V")</f>
        <v>0</v>
      </c>
      <c r="AU2">
        <f>BDH("RIME US Equity","EQY_SH_OUT","1993-06-18","2026-05-02","Per=M","Days=T","Dir=V")</f>
        <v>0</v>
      </c>
      <c r="AW2">
        <f>BDH("RIME US Equity","PX_VOLUME","1993-06-18","2026-05-02","Per=M","Days=T","Dir=V")</f>
        <v>0</v>
      </c>
      <c r="AY2">
        <f>BDH("RIME US Equity","TURNOVER","1993-06-18","2026-05-02","Per=M","Days=T","Dir=V")</f>
        <v>0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BDH("RIVN US Equity","BS_TOT_ASSET","1993-06-18","2026-05-02","Per=Y","Days=T","Dir=V")</f>
        <v>0</v>
      </c>
      <c r="C2">
        <f>BDH("RIVN US Equity","BS_TOT_LIAB2","1993-06-18","2026-05-02","Per=Y","Days=T","Dir=V")</f>
        <v>0</v>
      </c>
      <c r="E2">
        <f>BDH("RIVN US Equity","SHORT_AND_LONG_TERM_DEBT","1993-06-18","2026-05-02","Per=Y","Days=T","Dir=V")</f>
        <v>0</v>
      </c>
      <c r="G2">
        <f>BDH("RIVN US Equity","BS_ST_BORROW","1993-06-18","2026-05-02","Per=Y","Days=T","Dir=V")</f>
        <v>0</v>
      </c>
      <c r="I2">
        <f>BDH("RIVN US Equity","BS_LT_BORROW","1993-06-18","2026-05-02","Per=Y","Days=T","Dir=V")</f>
        <v>0</v>
      </c>
      <c r="K2">
        <f>BDH("RIVN US Equity","BS_CASH_NEAR_CASH_ITEM","1993-06-18","2026-05-02","Per=Y","Days=T","Dir=V")</f>
        <v>0</v>
      </c>
      <c r="M2">
        <f>BDH("RIVN US Equity","BS_CUR_ASSET_REPORT","1993-06-18","2026-05-02","Per=Y","Days=T","Dir=V")</f>
        <v>0</v>
      </c>
      <c r="O2">
        <f>BDH("RIVN US Equity","BS_CUR_LIAB","1993-06-18","2026-05-02","Per=Y","Days=T","Dir=V")</f>
        <v>0</v>
      </c>
      <c r="Q2">
        <f>BDH("RIVN US Equity","BS_SHAREHOLDER_EQY_ENDING_PERIOD","1993-06-18","2026-05-02","Per=Y","Days=T","Dir=V")</f>
        <v>0</v>
      </c>
      <c r="S2">
        <f>BDH("RIVN US Equity","BS_ACCT_NOTE_RCV","1993-06-18","2026-05-02","Per=Y","Days=T","Dir=V")</f>
        <v>0</v>
      </c>
      <c r="U2">
        <f>BDH("RIVN US Equity","BS_INVENTORIES","1993-06-18","2026-05-02","Per=Y","Days=T","Dir=V")</f>
        <v>0</v>
      </c>
      <c r="W2">
        <f>BDH("RIVN US Equity","WORKING_CAPITAL","1993-06-18","2026-05-02","Per=Y","Days=T","Dir=V")</f>
        <v>0</v>
      </c>
      <c r="Y2">
        <f>BDH("RIVN US Equity","SALES_REV_TURN","1993-06-18","2026-05-02","Per=Y","Days=T","Dir=V")</f>
        <v>0</v>
      </c>
      <c r="AA2">
        <f>BDH("RIVN US Equity","EBIT","1993-06-18","2026-05-02","Per=Y","Days=T","Dir=V")</f>
        <v>0</v>
      </c>
      <c r="AC2">
        <f>BDH("RIVN US Equity","EBITDA","1993-06-18","2026-05-02","Per=Y","Days=T","Dir=V")</f>
        <v>0</v>
      </c>
      <c r="AE2">
        <f>BDH("RIVN US Equity","NET_INCOME","1993-06-18","2026-05-02","Per=Y","Days=T","Dir=V")</f>
        <v>0</v>
      </c>
      <c r="AG2">
        <f>BDH("RIVN US Equity","IS_INT_EXPENSE","1993-06-18","2026-05-02","Per=Y","Days=T","Dir=V")</f>
        <v>0</v>
      </c>
      <c r="AI2">
        <f>BDH("RIVN US Equity","IS_DEPR_EXP","1993-06-18","2026-05-02","Per=Y","Days=T","Dir=V")</f>
        <v>0</v>
      </c>
      <c r="AK2">
        <f>BDH("RIVN US Equity","CF_CASH_FROM_OPER","1993-06-18","2026-05-02","Per=Y","Days=T","Dir=V")</f>
        <v>0</v>
      </c>
      <c r="AM2">
        <f>BDH("RIVN US Equity","CAPITAL_EXPEND","1993-06-18","2026-05-02","Per=Y","Days=T","Dir=V")</f>
        <v>0</v>
      </c>
      <c r="AO2">
        <f>BDH("RIVN US Equity","CF_FREE_CASH_FLOW","1993-06-18","2026-05-02","Per=Y","Days=T","Dir=V")</f>
        <v>0</v>
      </c>
      <c r="AQ2">
        <f>BDH("RIVN US Equity","PX_LAST","1993-06-18","2026-05-02","Per=M","Days=T","Dir=V")</f>
        <v>0</v>
      </c>
      <c r="AS2">
        <f>BDH("RIVN US Equity","CUR_MKT_CAP","1993-06-18","2026-05-02","Per=M","Days=T","Dir=V")</f>
        <v>0</v>
      </c>
      <c r="AU2">
        <f>BDH("RIVN US Equity","EQY_SH_OUT","1993-06-18","2026-05-02","Per=M","Days=T","Dir=V")</f>
        <v>0</v>
      </c>
      <c r="AW2">
        <f>BDH("RIVN US Equity","PX_VOLUME","1993-06-18","2026-05-02","Per=M","Days=T","Dir=V")</f>
        <v>0</v>
      </c>
      <c r="AY2">
        <f>BDH("RIVN US Equity","TURNOVER","1993-06-18","2026-05-02","Per=M","Days=T","Dir=V")</f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BDH("RJET US Equity","BS_TOT_ASSET","1993-06-18","2026-05-02","Per=Y","Days=T","Dir=V")</f>
        <v>0</v>
      </c>
      <c r="C2">
        <f>BDH("RJET US Equity","BS_TOT_LIAB2","1993-06-18","2026-05-02","Per=Y","Days=T","Dir=V")</f>
        <v>0</v>
      </c>
      <c r="E2">
        <f>BDH("RJET US Equity","SHORT_AND_LONG_TERM_DEBT","1993-06-18","2026-05-02","Per=Y","Days=T","Dir=V")</f>
        <v>0</v>
      </c>
      <c r="G2">
        <f>BDH("RJET US Equity","BS_ST_BORROW","1993-06-18","2026-05-02","Per=Y","Days=T","Dir=V")</f>
        <v>0</v>
      </c>
      <c r="I2">
        <f>BDH("RJET US Equity","BS_LT_BORROW","1993-06-18","2026-05-02","Per=Y","Days=T","Dir=V")</f>
        <v>0</v>
      </c>
      <c r="K2">
        <f>BDH("RJET US Equity","BS_CASH_NEAR_CASH_ITEM","1993-06-18","2026-05-02","Per=Y","Days=T","Dir=V")</f>
        <v>0</v>
      </c>
      <c r="M2">
        <f>BDH("RJET US Equity","BS_CUR_ASSET_REPORT","1993-06-18","2026-05-02","Per=Y","Days=T","Dir=V")</f>
        <v>0</v>
      </c>
      <c r="O2">
        <f>BDH("RJET US Equity","BS_CUR_LIAB","1993-06-18","2026-05-02","Per=Y","Days=T","Dir=V")</f>
        <v>0</v>
      </c>
      <c r="Q2">
        <f>BDH("RJET US Equity","BS_SHAREHOLDER_EQY_ENDING_PERIOD","1993-06-18","2026-05-02","Per=Y","Days=T","Dir=V")</f>
        <v>0</v>
      </c>
      <c r="S2">
        <f>BDH("RJET US Equity","BS_ACCT_NOTE_RCV","1993-06-18","2026-05-02","Per=Y","Days=T","Dir=V")</f>
        <v>0</v>
      </c>
      <c r="U2">
        <f>BDH("RJET US Equity","BS_INVENTORIES","1993-06-18","2026-05-02","Per=Y","Days=T","Dir=V")</f>
        <v>0</v>
      </c>
      <c r="W2">
        <f>BDH("RJET US Equity","WORKING_CAPITAL","1993-06-18","2026-05-02","Per=Y","Days=T","Dir=V")</f>
        <v>0</v>
      </c>
      <c r="Y2">
        <f>BDH("RJET US Equity","SALES_REV_TURN","1993-06-18","2026-05-02","Per=Y","Days=T","Dir=V")</f>
        <v>0</v>
      </c>
      <c r="AA2">
        <f>BDH("RJET US Equity","EBIT","1993-06-18","2026-05-02","Per=Y","Days=T","Dir=V")</f>
        <v>0</v>
      </c>
      <c r="AC2">
        <f>BDH("RJET US Equity","EBITDA","1993-06-18","2026-05-02","Per=Y","Days=T","Dir=V")</f>
        <v>0</v>
      </c>
      <c r="AE2">
        <f>BDH("RJET US Equity","NET_INCOME","1993-06-18","2026-05-02","Per=Y","Days=T","Dir=V")</f>
        <v>0</v>
      </c>
      <c r="AG2">
        <f>BDH("RJET US Equity","IS_INT_EXPENSE","1993-06-18","2026-05-02","Per=Y","Days=T","Dir=V")</f>
        <v>0</v>
      </c>
      <c r="AI2">
        <f>BDH("RJET US Equity","IS_DEPR_EXP","1993-06-18","2026-05-02","Per=Y","Days=T","Dir=V")</f>
        <v>0</v>
      </c>
      <c r="AK2">
        <f>BDH("RJET US Equity","CF_CASH_FROM_OPER","1993-06-18","2026-05-02","Per=Y","Days=T","Dir=V")</f>
        <v>0</v>
      </c>
      <c r="AM2">
        <f>BDH("RJET US Equity","CAPITAL_EXPEND","1993-06-18","2026-05-02","Per=Y","Days=T","Dir=V")</f>
        <v>0</v>
      </c>
      <c r="AO2">
        <f>BDH("RJET US Equity","CF_FREE_CASH_FLOW","1993-06-18","2026-05-02","Per=Y","Days=T","Dir=V")</f>
        <v>0</v>
      </c>
      <c r="AQ2">
        <f>BDH("RJET US Equity","PX_LAST","1993-06-18","2026-05-02","Per=M","Days=T","Dir=V")</f>
        <v>0</v>
      </c>
      <c r="AS2">
        <f>BDH("RJET US Equity","CUR_MKT_CAP","1993-06-18","2026-05-02","Per=M","Days=T","Dir=V")</f>
        <v>0</v>
      </c>
      <c r="AU2">
        <f>BDH("RJET US Equity","EQY_SH_OUT","1993-06-18","2026-05-02","Per=M","Days=T","Dir=V")</f>
        <v>0</v>
      </c>
      <c r="AW2">
        <f>BDH("RJET US Equity","PX_VOLUME","1993-06-18","2026-05-02","Per=M","Days=T","Dir=V")</f>
        <v>0</v>
      </c>
      <c r="AY2">
        <f>BDH("RJET US Equity","TURNOVER","1993-06-18","2026-05-02","Per=M","Days=T","Dir=V")</f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BDH("RKDA US Equity","BS_TOT_ASSET","1993-06-18","2026-05-02","Per=Y","Days=T","Dir=V")</f>
        <v>0</v>
      </c>
      <c r="C2">
        <f>BDH("RKDA US Equity","BS_TOT_LIAB2","1993-06-18","2026-05-02","Per=Y","Days=T","Dir=V")</f>
        <v>0</v>
      </c>
      <c r="E2">
        <f>BDH("RKDA US Equity","SHORT_AND_LONG_TERM_DEBT","1993-06-18","2026-05-02","Per=Y","Days=T","Dir=V")</f>
        <v>0</v>
      </c>
      <c r="G2">
        <f>BDH("RKDA US Equity","BS_ST_BORROW","1993-06-18","2026-05-02","Per=Y","Days=T","Dir=V")</f>
        <v>0</v>
      </c>
      <c r="I2">
        <f>BDH("RKDA US Equity","BS_LT_BORROW","1993-06-18","2026-05-02","Per=Y","Days=T","Dir=V")</f>
        <v>0</v>
      </c>
      <c r="K2">
        <f>BDH("RKDA US Equity","BS_CASH_NEAR_CASH_ITEM","1993-06-18","2026-05-02","Per=Y","Days=T","Dir=V")</f>
        <v>0</v>
      </c>
      <c r="M2">
        <f>BDH("RKDA US Equity","BS_CUR_ASSET_REPORT","1993-06-18","2026-05-02","Per=Y","Days=T","Dir=V")</f>
        <v>0</v>
      </c>
      <c r="O2">
        <f>BDH("RKDA US Equity","BS_CUR_LIAB","1993-06-18","2026-05-02","Per=Y","Days=T","Dir=V")</f>
        <v>0</v>
      </c>
      <c r="Q2">
        <f>BDH("RKDA US Equity","BS_SHAREHOLDER_EQY_ENDING_PERIOD","1993-06-18","2026-05-02","Per=Y","Days=T","Dir=V")</f>
        <v>0</v>
      </c>
      <c r="S2">
        <f>BDH("RKDA US Equity","BS_ACCT_NOTE_RCV","1993-06-18","2026-05-02","Per=Y","Days=T","Dir=V")</f>
        <v>0</v>
      </c>
      <c r="U2">
        <f>BDH("RKDA US Equity","BS_INVENTORIES","1993-06-18","2026-05-02","Per=Y","Days=T","Dir=V")</f>
        <v>0</v>
      </c>
      <c r="W2">
        <f>BDH("RKDA US Equity","WORKING_CAPITAL","1993-06-18","2026-05-02","Per=Y","Days=T","Dir=V")</f>
        <v>0</v>
      </c>
      <c r="Y2">
        <f>BDH("RKDA US Equity","SALES_REV_TURN","1993-06-18","2026-05-02","Per=Y","Days=T","Dir=V")</f>
        <v>0</v>
      </c>
      <c r="AA2">
        <f>BDH("RKDA US Equity","EBIT","1993-06-18","2026-05-02","Per=Y","Days=T","Dir=V")</f>
        <v>0</v>
      </c>
      <c r="AC2">
        <f>BDH("RKDA US Equity","EBITDA","1993-06-18","2026-05-02","Per=Y","Days=T","Dir=V")</f>
        <v>0</v>
      </c>
      <c r="AE2">
        <f>BDH("RKDA US Equity","NET_INCOME","1993-06-18","2026-05-02","Per=Y","Days=T","Dir=V")</f>
        <v>0</v>
      </c>
      <c r="AG2">
        <f>BDH("RKDA US Equity","IS_INT_EXPENSE","1993-06-18","2026-05-02","Per=Y","Days=T","Dir=V")</f>
        <v>0</v>
      </c>
      <c r="AI2">
        <f>BDH("RKDA US Equity","IS_DEPR_EXP","1993-06-18","2026-05-02","Per=Y","Days=T","Dir=V")</f>
        <v>0</v>
      </c>
      <c r="AK2">
        <f>BDH("RKDA US Equity","CF_CASH_FROM_OPER","1993-06-18","2026-05-02","Per=Y","Days=T","Dir=V")</f>
        <v>0</v>
      </c>
      <c r="AM2">
        <f>BDH("RKDA US Equity","CAPITAL_EXPEND","1993-06-18","2026-05-02","Per=Y","Days=T","Dir=V")</f>
        <v>0</v>
      </c>
      <c r="AO2">
        <f>BDH("RKDA US Equity","CF_FREE_CASH_FLOW","1993-06-18","2026-05-02","Per=Y","Days=T","Dir=V")</f>
        <v>0</v>
      </c>
      <c r="AQ2">
        <f>BDH("RKDA US Equity","PX_LAST","1993-06-18","2026-05-02","Per=M","Days=T","Dir=V")</f>
        <v>0</v>
      </c>
      <c r="AS2">
        <f>BDH("RKDA US Equity","CUR_MKT_CAP","1993-06-18","2026-05-02","Per=M","Days=T","Dir=V")</f>
        <v>0</v>
      </c>
      <c r="AU2">
        <f>BDH("RKDA US Equity","EQY_SH_OUT","1993-06-18","2026-05-02","Per=M","Days=T","Dir=V")</f>
        <v>0</v>
      </c>
      <c r="AW2">
        <f>BDH("RKDA US Equity","PX_VOLUME","1993-06-18","2026-05-02","Per=M","Days=T","Dir=V")</f>
        <v>0</v>
      </c>
      <c r="AY2">
        <f>BDH("RKDA US Equity","TURNOVER","1993-06-18","2026-05-02","Per=M","Days=T","Dir=V")</f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BDH("RKLB US Equity","BS_TOT_ASSET","1993-06-18","2026-05-02","Per=Y","Days=T","Dir=V")</f>
        <v>0</v>
      </c>
      <c r="C2">
        <f>BDH("RKLB US Equity","BS_TOT_LIAB2","1993-06-18","2026-05-02","Per=Y","Days=T","Dir=V")</f>
        <v>0</v>
      </c>
      <c r="E2">
        <f>BDH("RKLB US Equity","SHORT_AND_LONG_TERM_DEBT","1993-06-18","2026-05-02","Per=Y","Days=T","Dir=V")</f>
        <v>0</v>
      </c>
      <c r="G2">
        <f>BDH("RKLB US Equity","BS_ST_BORROW","1993-06-18","2026-05-02","Per=Y","Days=T","Dir=V")</f>
        <v>0</v>
      </c>
      <c r="I2">
        <f>BDH("RKLB US Equity","BS_LT_BORROW","1993-06-18","2026-05-02","Per=Y","Days=T","Dir=V")</f>
        <v>0</v>
      </c>
      <c r="K2">
        <f>BDH("RKLB US Equity","BS_CASH_NEAR_CASH_ITEM","1993-06-18","2026-05-02","Per=Y","Days=T","Dir=V")</f>
        <v>0</v>
      </c>
      <c r="M2">
        <f>BDH("RKLB US Equity","BS_CUR_ASSET_REPORT","1993-06-18","2026-05-02","Per=Y","Days=T","Dir=V")</f>
        <v>0</v>
      </c>
      <c r="O2">
        <f>BDH("RKLB US Equity","BS_CUR_LIAB","1993-06-18","2026-05-02","Per=Y","Days=T","Dir=V")</f>
        <v>0</v>
      </c>
      <c r="Q2">
        <f>BDH("RKLB US Equity","BS_SHAREHOLDER_EQY_ENDING_PERIOD","1993-06-18","2026-05-02","Per=Y","Days=T","Dir=V")</f>
        <v>0</v>
      </c>
      <c r="S2">
        <f>BDH("RKLB US Equity","BS_ACCT_NOTE_RCV","1993-06-18","2026-05-02","Per=Y","Days=T","Dir=V")</f>
        <v>0</v>
      </c>
      <c r="U2">
        <f>BDH("RKLB US Equity","BS_INVENTORIES","1993-06-18","2026-05-02","Per=Y","Days=T","Dir=V")</f>
        <v>0</v>
      </c>
      <c r="W2">
        <f>BDH("RKLB US Equity","WORKING_CAPITAL","1993-06-18","2026-05-02","Per=Y","Days=T","Dir=V")</f>
        <v>0</v>
      </c>
      <c r="Y2">
        <f>BDH("RKLB US Equity","SALES_REV_TURN","1993-06-18","2026-05-02","Per=Y","Days=T","Dir=V")</f>
        <v>0</v>
      </c>
      <c r="AA2">
        <f>BDH("RKLB US Equity","EBIT","1993-06-18","2026-05-02","Per=Y","Days=T","Dir=V")</f>
        <v>0</v>
      </c>
      <c r="AC2">
        <f>BDH("RKLB US Equity","EBITDA","1993-06-18","2026-05-02","Per=Y","Days=T","Dir=V")</f>
        <v>0</v>
      </c>
      <c r="AE2">
        <f>BDH("RKLB US Equity","NET_INCOME","1993-06-18","2026-05-02","Per=Y","Days=T","Dir=V")</f>
        <v>0</v>
      </c>
      <c r="AG2">
        <f>BDH("RKLB US Equity","IS_INT_EXPENSE","1993-06-18","2026-05-02","Per=Y","Days=T","Dir=V")</f>
        <v>0</v>
      </c>
      <c r="AI2">
        <f>BDH("RKLB US Equity","IS_DEPR_EXP","1993-06-18","2026-05-02","Per=Y","Days=T","Dir=V")</f>
        <v>0</v>
      </c>
      <c r="AK2">
        <f>BDH("RKLB US Equity","CF_CASH_FROM_OPER","1993-06-18","2026-05-02","Per=Y","Days=T","Dir=V")</f>
        <v>0</v>
      </c>
      <c r="AM2">
        <f>BDH("RKLB US Equity","CAPITAL_EXPEND","1993-06-18","2026-05-02","Per=Y","Days=T","Dir=V")</f>
        <v>0</v>
      </c>
      <c r="AO2">
        <f>BDH("RKLB US Equity","CF_FREE_CASH_FLOW","1993-06-18","2026-05-02","Per=Y","Days=T","Dir=V")</f>
        <v>0</v>
      </c>
      <c r="AQ2">
        <f>BDH("RKLB US Equity","PX_LAST","1993-06-18","2026-05-02","Per=M","Days=T","Dir=V")</f>
        <v>0</v>
      </c>
      <c r="AS2">
        <f>BDH("RKLB US Equity","CUR_MKT_CAP","1993-06-18","2026-05-02","Per=M","Days=T","Dir=V")</f>
        <v>0</v>
      </c>
      <c r="AU2">
        <f>BDH("RKLB US Equity","EQY_SH_OUT","1993-06-18","2026-05-02","Per=M","Days=T","Dir=V")</f>
        <v>0</v>
      </c>
      <c r="AW2">
        <f>BDH("RKLB US Equity","PX_VOLUME","1993-06-18","2026-05-02","Per=M","Days=T","Dir=V")</f>
        <v>0</v>
      </c>
      <c r="AY2">
        <f>BDH("RKLB US Equity","TURNOVER","1993-06-18","2026-05-02","Per=M","Days=T","Dir=V")</f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BDH("RKTO US Equity","BS_TOT_ASSET","1993-06-18","2026-05-02","Per=Y","Days=T","Dir=V")</f>
        <v>0</v>
      </c>
      <c r="C2">
        <f>BDH("RKTO US Equity","BS_TOT_LIAB2","1993-06-18","2026-05-02","Per=Y","Days=T","Dir=V")</f>
        <v>0</v>
      </c>
      <c r="E2">
        <f>BDH("RKTO US Equity","SHORT_AND_LONG_TERM_DEBT","1993-06-18","2026-05-02","Per=Y","Days=T","Dir=V")</f>
        <v>0</v>
      </c>
      <c r="G2">
        <f>BDH("RKTO US Equity","BS_ST_BORROW","1993-06-18","2026-05-02","Per=Y","Days=T","Dir=V")</f>
        <v>0</v>
      </c>
      <c r="I2">
        <f>BDH("RKTO US Equity","BS_LT_BORROW","1993-06-18","2026-05-02","Per=Y","Days=T","Dir=V")</f>
        <v>0</v>
      </c>
      <c r="K2">
        <f>BDH("RKTO US Equity","BS_CASH_NEAR_CASH_ITEM","1993-06-18","2026-05-02","Per=Y","Days=T","Dir=V")</f>
        <v>0</v>
      </c>
      <c r="M2">
        <f>BDH("RKTO US Equity","BS_CUR_ASSET_REPORT","1993-06-18","2026-05-02","Per=Y","Days=T","Dir=V")</f>
        <v>0</v>
      </c>
      <c r="O2">
        <f>BDH("RKTO US Equity","BS_CUR_LIAB","1993-06-18","2026-05-02","Per=Y","Days=T","Dir=V")</f>
        <v>0</v>
      </c>
      <c r="Q2">
        <f>BDH("RKTO US Equity","BS_SHAREHOLDER_EQY_ENDING_PERIOD","1993-06-18","2026-05-02","Per=Y","Days=T","Dir=V")</f>
        <v>0</v>
      </c>
      <c r="S2">
        <f>BDH("RKTO US Equity","BS_ACCT_NOTE_RCV","1993-06-18","2026-05-02","Per=Y","Days=T","Dir=V")</f>
        <v>0</v>
      </c>
      <c r="U2">
        <f>BDH("RKTO US Equity","BS_INVENTORIES","1993-06-18","2026-05-02","Per=Y","Days=T","Dir=V")</f>
        <v>0</v>
      </c>
      <c r="W2">
        <f>BDH("RKTO US Equity","WORKING_CAPITAL","1993-06-18","2026-05-02","Per=Y","Days=T","Dir=V")</f>
        <v>0</v>
      </c>
      <c r="Y2">
        <f>BDH("RKTO US Equity","SALES_REV_TURN","1993-06-18","2026-05-02","Per=Y","Days=T","Dir=V")</f>
        <v>0</v>
      </c>
      <c r="AA2">
        <f>BDH("RKTO US Equity","EBIT","1993-06-18","2026-05-02","Per=Y","Days=T","Dir=V")</f>
        <v>0</v>
      </c>
      <c r="AC2">
        <f>BDH("RKTO US Equity","EBITDA","1993-06-18","2026-05-02","Per=Y","Days=T","Dir=V")</f>
        <v>0</v>
      </c>
      <c r="AE2">
        <f>BDH("RKTO US Equity","NET_INCOME","1993-06-18","2026-05-02","Per=Y","Days=T","Dir=V")</f>
        <v>0</v>
      </c>
      <c r="AG2">
        <f>BDH("RKTO US Equity","IS_INT_EXPENSE","1993-06-18","2026-05-02","Per=Y","Days=T","Dir=V")</f>
        <v>0</v>
      </c>
      <c r="AI2">
        <f>BDH("RKTO US Equity","IS_DEPR_EXP","1993-06-18","2026-05-02","Per=Y","Days=T","Dir=V")</f>
        <v>0</v>
      </c>
      <c r="AK2">
        <f>BDH("RKTO US Equity","CF_CASH_FROM_OPER","1993-06-18","2026-05-02","Per=Y","Days=T","Dir=V")</f>
        <v>0</v>
      </c>
      <c r="AM2">
        <f>BDH("RKTO US Equity","CAPITAL_EXPEND","1993-06-18","2026-05-02","Per=Y","Days=T","Dir=V")</f>
        <v>0</v>
      </c>
      <c r="AO2">
        <f>BDH("RKTO US Equity","CF_FREE_CASH_FLOW","1993-06-18","2026-05-02","Per=Y","Days=T","Dir=V")</f>
        <v>0</v>
      </c>
      <c r="AQ2">
        <f>BDH("RKTO US Equity","PX_LAST","1993-06-18","2026-05-02","Per=M","Days=T","Dir=V")</f>
        <v>0</v>
      </c>
      <c r="AS2">
        <f>BDH("RKTO US Equity","CUR_MKT_CAP","1993-06-18","2026-05-02","Per=M","Days=T","Dir=V")</f>
        <v>0</v>
      </c>
      <c r="AU2">
        <f>BDH("RKTO US Equity","EQY_SH_OUT","1993-06-18","2026-05-02","Per=M","Days=T","Dir=V")</f>
        <v>0</v>
      </c>
      <c r="AW2">
        <f>BDH("RKTO US Equity","PX_VOLUME","1993-06-18","2026-05-02","Per=M","Days=T","Dir=V")</f>
        <v>0</v>
      </c>
      <c r="AY2">
        <f>BDH("RKTO US Equity","TURNOVER","1993-06-18","2026-05-02","Per=M","Days=T","Dir=V")</f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BDH("RL US Equity","BS_TOT_ASSET","1993-06-18","2026-05-02","Per=Y","Days=T","Dir=V")</f>
        <v>0</v>
      </c>
      <c r="C2">
        <f>BDH("RL US Equity","BS_TOT_LIAB2","1993-06-18","2026-05-02","Per=Y","Days=T","Dir=V")</f>
        <v>0</v>
      </c>
      <c r="E2">
        <f>BDH("RL US Equity","SHORT_AND_LONG_TERM_DEBT","1993-06-18","2026-05-02","Per=Y","Days=T","Dir=V")</f>
        <v>0</v>
      </c>
      <c r="G2">
        <f>BDH("RL US Equity","BS_ST_BORROW","1993-06-18","2026-05-02","Per=Y","Days=T","Dir=V")</f>
        <v>0</v>
      </c>
      <c r="I2">
        <f>BDH("RL US Equity","BS_LT_BORROW","1993-06-18","2026-05-02","Per=Y","Days=T","Dir=V")</f>
        <v>0</v>
      </c>
      <c r="K2">
        <f>BDH("RL US Equity","BS_CASH_NEAR_CASH_ITEM","1993-06-18","2026-05-02","Per=Y","Days=T","Dir=V")</f>
        <v>0</v>
      </c>
      <c r="M2">
        <f>BDH("RL US Equity","BS_CUR_ASSET_REPORT","1993-06-18","2026-05-02","Per=Y","Days=T","Dir=V")</f>
        <v>0</v>
      </c>
      <c r="O2">
        <f>BDH("RL US Equity","BS_CUR_LIAB","1993-06-18","2026-05-02","Per=Y","Days=T","Dir=V")</f>
        <v>0</v>
      </c>
      <c r="Q2">
        <f>BDH("RL US Equity","BS_SHAREHOLDER_EQY_ENDING_PERIOD","1993-06-18","2026-05-02","Per=Y","Days=T","Dir=V")</f>
        <v>0</v>
      </c>
      <c r="S2">
        <f>BDH("RL US Equity","BS_ACCT_NOTE_RCV","1993-06-18","2026-05-02","Per=Y","Days=T","Dir=V")</f>
        <v>0</v>
      </c>
      <c r="U2">
        <f>BDH("RL US Equity","BS_INVENTORIES","1993-06-18","2026-05-02","Per=Y","Days=T","Dir=V")</f>
        <v>0</v>
      </c>
      <c r="W2">
        <f>BDH("RL US Equity","WORKING_CAPITAL","1993-06-18","2026-05-02","Per=Y","Days=T","Dir=V")</f>
        <v>0</v>
      </c>
      <c r="Y2">
        <f>BDH("RL US Equity","SALES_REV_TURN","1993-06-18","2026-05-02","Per=Y","Days=T","Dir=V")</f>
        <v>0</v>
      </c>
      <c r="AA2">
        <f>BDH("RL US Equity","EBIT","1993-06-18","2026-05-02","Per=Y","Days=T","Dir=V")</f>
        <v>0</v>
      </c>
      <c r="AC2">
        <f>BDH("RL US Equity","EBITDA","1993-06-18","2026-05-02","Per=Y","Days=T","Dir=V")</f>
        <v>0</v>
      </c>
      <c r="AE2">
        <f>BDH("RL US Equity","NET_INCOME","1993-06-18","2026-05-02","Per=Y","Days=T","Dir=V")</f>
        <v>0</v>
      </c>
      <c r="AG2">
        <f>BDH("RL US Equity","IS_INT_EXPENSE","1993-06-18","2026-05-02","Per=Y","Days=T","Dir=V")</f>
        <v>0</v>
      </c>
      <c r="AI2">
        <f>BDH("RL US Equity","IS_DEPR_EXP","1993-06-18","2026-05-02","Per=Y","Days=T","Dir=V")</f>
        <v>0</v>
      </c>
      <c r="AK2">
        <f>BDH("RL US Equity","CF_CASH_FROM_OPER","1993-06-18","2026-05-02","Per=Y","Days=T","Dir=V")</f>
        <v>0</v>
      </c>
      <c r="AM2">
        <f>BDH("RL US Equity","CAPITAL_EXPEND","1993-06-18","2026-05-02","Per=Y","Days=T","Dir=V")</f>
        <v>0</v>
      </c>
      <c r="AO2">
        <f>BDH("RL US Equity","CF_FREE_CASH_FLOW","1993-06-18","2026-05-02","Per=Y","Days=T","Dir=V")</f>
        <v>0</v>
      </c>
      <c r="AQ2">
        <f>BDH("RL US Equity","PX_LAST","1993-06-18","2026-05-02","Per=M","Days=T","Dir=V")</f>
        <v>0</v>
      </c>
      <c r="AS2">
        <f>BDH("RL US Equity","CUR_MKT_CAP","1993-06-18","2026-05-02","Per=M","Days=T","Dir=V")</f>
        <v>0</v>
      </c>
      <c r="AU2">
        <f>BDH("RL US Equity","EQY_SH_OUT","1993-06-18","2026-05-02","Per=M","Days=T","Dir=V")</f>
        <v>0</v>
      </c>
      <c r="AW2">
        <f>BDH("RL US Equity","PX_VOLUME","1993-06-18","2026-05-02","Per=M","Days=T","Dir=V")</f>
        <v>0</v>
      </c>
      <c r="AY2">
        <f>BDH("RL US Equity","TURNOVER","1993-06-18","2026-05-02","Per=M","Days=T","Dir=V")</f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BDH("RLAY US Equity","BS_TOT_ASSET","1993-06-18","2026-05-02","Per=Y","Days=T","Dir=V")</f>
        <v>0</v>
      </c>
      <c r="C2">
        <f>BDH("RLAY US Equity","BS_TOT_LIAB2","1993-06-18","2026-05-02","Per=Y","Days=T","Dir=V")</f>
        <v>0</v>
      </c>
      <c r="E2">
        <f>BDH("RLAY US Equity","SHORT_AND_LONG_TERM_DEBT","1993-06-18","2026-05-02","Per=Y","Days=T","Dir=V")</f>
        <v>0</v>
      </c>
      <c r="G2">
        <f>BDH("RLAY US Equity","BS_ST_BORROW","1993-06-18","2026-05-02","Per=Y","Days=T","Dir=V")</f>
        <v>0</v>
      </c>
      <c r="I2">
        <f>BDH("RLAY US Equity","BS_LT_BORROW","1993-06-18","2026-05-02","Per=Y","Days=T","Dir=V")</f>
        <v>0</v>
      </c>
      <c r="K2">
        <f>BDH("RLAY US Equity","BS_CASH_NEAR_CASH_ITEM","1993-06-18","2026-05-02","Per=Y","Days=T","Dir=V")</f>
        <v>0</v>
      </c>
      <c r="M2">
        <f>BDH("RLAY US Equity","BS_CUR_ASSET_REPORT","1993-06-18","2026-05-02","Per=Y","Days=T","Dir=V")</f>
        <v>0</v>
      </c>
      <c r="O2">
        <f>BDH("RLAY US Equity","BS_CUR_LIAB","1993-06-18","2026-05-02","Per=Y","Days=T","Dir=V")</f>
        <v>0</v>
      </c>
      <c r="Q2">
        <f>BDH("RLAY US Equity","BS_SHAREHOLDER_EQY_ENDING_PERIOD","1993-06-18","2026-05-02","Per=Y","Days=T","Dir=V")</f>
        <v>0</v>
      </c>
      <c r="S2">
        <f>BDH("RLAY US Equity","BS_ACCT_NOTE_RCV","1993-06-18","2026-05-02","Per=Y","Days=T","Dir=V")</f>
        <v>0</v>
      </c>
      <c r="U2">
        <f>BDH("RLAY US Equity","BS_INVENTORIES","1993-06-18","2026-05-02","Per=Y","Days=T","Dir=V")</f>
        <v>0</v>
      </c>
      <c r="W2">
        <f>BDH("RLAY US Equity","WORKING_CAPITAL","1993-06-18","2026-05-02","Per=Y","Days=T","Dir=V")</f>
        <v>0</v>
      </c>
      <c r="Y2">
        <f>BDH("RLAY US Equity","SALES_REV_TURN","1993-06-18","2026-05-02","Per=Y","Days=T","Dir=V")</f>
        <v>0</v>
      </c>
      <c r="AA2">
        <f>BDH("RLAY US Equity","EBIT","1993-06-18","2026-05-02","Per=Y","Days=T","Dir=V")</f>
        <v>0</v>
      </c>
      <c r="AC2">
        <f>BDH("RLAY US Equity","EBITDA","1993-06-18","2026-05-02","Per=Y","Days=T","Dir=V")</f>
        <v>0</v>
      </c>
      <c r="AE2">
        <f>BDH("RLAY US Equity","NET_INCOME","1993-06-18","2026-05-02","Per=Y","Days=T","Dir=V")</f>
        <v>0</v>
      </c>
      <c r="AG2">
        <f>BDH("RLAY US Equity","IS_INT_EXPENSE","1993-06-18","2026-05-02","Per=Y","Days=T","Dir=V")</f>
        <v>0</v>
      </c>
      <c r="AI2">
        <f>BDH("RLAY US Equity","IS_DEPR_EXP","1993-06-18","2026-05-02","Per=Y","Days=T","Dir=V")</f>
        <v>0</v>
      </c>
      <c r="AK2">
        <f>BDH("RLAY US Equity","CF_CASH_FROM_OPER","1993-06-18","2026-05-02","Per=Y","Days=T","Dir=V")</f>
        <v>0</v>
      </c>
      <c r="AM2">
        <f>BDH("RLAY US Equity","CAPITAL_EXPEND","1993-06-18","2026-05-02","Per=Y","Days=T","Dir=V")</f>
        <v>0</v>
      </c>
      <c r="AO2">
        <f>BDH("RLAY US Equity","CF_FREE_CASH_FLOW","1993-06-18","2026-05-02","Per=Y","Days=T","Dir=V")</f>
        <v>0</v>
      </c>
      <c r="AQ2">
        <f>BDH("RLAY US Equity","PX_LAST","1993-06-18","2026-05-02","Per=M","Days=T","Dir=V")</f>
        <v>0</v>
      </c>
      <c r="AS2">
        <f>BDH("RLAY US Equity","CUR_MKT_CAP","1993-06-18","2026-05-02","Per=M","Days=T","Dir=V")</f>
        <v>0</v>
      </c>
      <c r="AU2">
        <f>BDH("RLAY US Equity","EQY_SH_OUT","1993-06-18","2026-05-02","Per=M","Days=T","Dir=V")</f>
        <v>0</v>
      </c>
      <c r="AW2">
        <f>BDH("RLAY US Equity","PX_VOLUME","1993-06-18","2026-05-02","Per=M","Days=T","Dir=V")</f>
        <v>0</v>
      </c>
      <c r="AY2">
        <f>BDH("RLAY US Equity","TURNOVER","1993-06-18","2026-05-02","Per=M","Days=T","Dir=V")</f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BDH("RLGT US Equity","BS_TOT_ASSET","1993-06-18","2026-05-02","Per=Y","Days=T","Dir=V")</f>
        <v>0</v>
      </c>
      <c r="C2">
        <f>BDH("RLGT US Equity","BS_TOT_LIAB2","1993-06-18","2026-05-02","Per=Y","Days=T","Dir=V")</f>
        <v>0</v>
      </c>
      <c r="E2">
        <f>BDH("RLGT US Equity","SHORT_AND_LONG_TERM_DEBT","1993-06-18","2026-05-02","Per=Y","Days=T","Dir=V")</f>
        <v>0</v>
      </c>
      <c r="G2">
        <f>BDH("RLGT US Equity","BS_ST_BORROW","1993-06-18","2026-05-02","Per=Y","Days=T","Dir=V")</f>
        <v>0</v>
      </c>
      <c r="I2">
        <f>BDH("RLGT US Equity","BS_LT_BORROW","1993-06-18","2026-05-02","Per=Y","Days=T","Dir=V")</f>
        <v>0</v>
      </c>
      <c r="K2">
        <f>BDH("RLGT US Equity","BS_CASH_NEAR_CASH_ITEM","1993-06-18","2026-05-02","Per=Y","Days=T","Dir=V")</f>
        <v>0</v>
      </c>
      <c r="M2">
        <f>BDH("RLGT US Equity","BS_CUR_ASSET_REPORT","1993-06-18","2026-05-02","Per=Y","Days=T","Dir=V")</f>
        <v>0</v>
      </c>
      <c r="O2">
        <f>BDH("RLGT US Equity","BS_CUR_LIAB","1993-06-18","2026-05-02","Per=Y","Days=T","Dir=V")</f>
        <v>0</v>
      </c>
      <c r="Q2">
        <f>BDH("RLGT US Equity","BS_SHAREHOLDER_EQY_ENDING_PERIOD","1993-06-18","2026-05-02","Per=Y","Days=T","Dir=V")</f>
        <v>0</v>
      </c>
      <c r="S2">
        <f>BDH("RLGT US Equity","BS_ACCT_NOTE_RCV","1993-06-18","2026-05-02","Per=Y","Days=T","Dir=V")</f>
        <v>0</v>
      </c>
      <c r="U2">
        <f>BDH("RLGT US Equity","BS_INVENTORIES","1993-06-18","2026-05-02","Per=Y","Days=T","Dir=V")</f>
        <v>0</v>
      </c>
      <c r="W2">
        <f>BDH("RLGT US Equity","WORKING_CAPITAL","1993-06-18","2026-05-02","Per=Y","Days=T","Dir=V")</f>
        <v>0</v>
      </c>
      <c r="Y2">
        <f>BDH("RLGT US Equity","SALES_REV_TURN","1993-06-18","2026-05-02","Per=Y","Days=T","Dir=V")</f>
        <v>0</v>
      </c>
      <c r="AA2">
        <f>BDH("RLGT US Equity","EBIT","1993-06-18","2026-05-02","Per=Y","Days=T","Dir=V")</f>
        <v>0</v>
      </c>
      <c r="AC2">
        <f>BDH("RLGT US Equity","EBITDA","1993-06-18","2026-05-02","Per=Y","Days=T","Dir=V")</f>
        <v>0</v>
      </c>
      <c r="AE2">
        <f>BDH("RLGT US Equity","NET_INCOME","1993-06-18","2026-05-02","Per=Y","Days=T","Dir=V")</f>
        <v>0</v>
      </c>
      <c r="AG2">
        <f>BDH("RLGT US Equity","IS_INT_EXPENSE","1993-06-18","2026-05-02","Per=Y","Days=T","Dir=V")</f>
        <v>0</v>
      </c>
      <c r="AI2">
        <f>BDH("RLGT US Equity","IS_DEPR_EXP","1993-06-18","2026-05-02","Per=Y","Days=T","Dir=V")</f>
        <v>0</v>
      </c>
      <c r="AK2">
        <f>BDH("RLGT US Equity","CF_CASH_FROM_OPER","1993-06-18","2026-05-02","Per=Y","Days=T","Dir=V")</f>
        <v>0</v>
      </c>
      <c r="AM2">
        <f>BDH("RLGT US Equity","CAPITAL_EXPEND","1993-06-18","2026-05-02","Per=Y","Days=T","Dir=V")</f>
        <v>0</v>
      </c>
      <c r="AO2">
        <f>BDH("RLGT US Equity","CF_FREE_CASH_FLOW","1993-06-18","2026-05-02","Per=Y","Days=T","Dir=V")</f>
        <v>0</v>
      </c>
      <c r="AQ2">
        <f>BDH("RLGT US Equity","PX_LAST","1993-06-18","2026-05-02","Per=M","Days=T","Dir=V")</f>
        <v>0</v>
      </c>
      <c r="AS2">
        <f>BDH("RLGT US Equity","CUR_MKT_CAP","1993-06-18","2026-05-02","Per=M","Days=T","Dir=V")</f>
        <v>0</v>
      </c>
      <c r="AU2">
        <f>BDH("RLGT US Equity","EQY_SH_OUT","1993-06-18","2026-05-02","Per=M","Days=T","Dir=V")</f>
        <v>0</v>
      </c>
      <c r="AW2">
        <f>BDH("RLGT US Equity","PX_VOLUME","1993-06-18","2026-05-02","Per=M","Days=T","Dir=V")</f>
        <v>0</v>
      </c>
      <c r="AY2">
        <f>BDH("RLGT US Equity","TURNOVER","1993-06-18","2026-05-02","Per=M","Days=T","Dir=V")</f>
        <v>0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BDH("RLMD US Equity","BS_TOT_ASSET","1993-06-18","2026-05-02","Per=Y","Days=T","Dir=V")</f>
        <v>0</v>
      </c>
      <c r="C2">
        <f>BDH("RLMD US Equity","BS_TOT_LIAB2","1993-06-18","2026-05-02","Per=Y","Days=T","Dir=V")</f>
        <v>0</v>
      </c>
      <c r="E2">
        <f>BDH("RLMD US Equity","SHORT_AND_LONG_TERM_DEBT","1993-06-18","2026-05-02","Per=Y","Days=T","Dir=V")</f>
        <v>0</v>
      </c>
      <c r="G2">
        <f>BDH("RLMD US Equity","BS_ST_BORROW","1993-06-18","2026-05-02","Per=Y","Days=T","Dir=V")</f>
        <v>0</v>
      </c>
      <c r="I2">
        <f>BDH("RLMD US Equity","BS_LT_BORROW","1993-06-18","2026-05-02","Per=Y","Days=T","Dir=V")</f>
        <v>0</v>
      </c>
      <c r="K2">
        <f>BDH("RLMD US Equity","BS_CASH_NEAR_CASH_ITEM","1993-06-18","2026-05-02","Per=Y","Days=T","Dir=V")</f>
        <v>0</v>
      </c>
      <c r="M2">
        <f>BDH("RLMD US Equity","BS_CUR_ASSET_REPORT","1993-06-18","2026-05-02","Per=Y","Days=T","Dir=V")</f>
        <v>0</v>
      </c>
      <c r="O2">
        <f>BDH("RLMD US Equity","BS_CUR_LIAB","1993-06-18","2026-05-02","Per=Y","Days=T","Dir=V")</f>
        <v>0</v>
      </c>
      <c r="Q2">
        <f>BDH("RLMD US Equity","BS_SHAREHOLDER_EQY_ENDING_PERIOD","1993-06-18","2026-05-02","Per=Y","Days=T","Dir=V")</f>
        <v>0</v>
      </c>
      <c r="S2">
        <f>BDH("RLMD US Equity","BS_ACCT_NOTE_RCV","1993-06-18","2026-05-02","Per=Y","Days=T","Dir=V")</f>
        <v>0</v>
      </c>
      <c r="U2">
        <f>BDH("RLMD US Equity","BS_INVENTORIES","1993-06-18","2026-05-02","Per=Y","Days=T","Dir=V")</f>
        <v>0</v>
      </c>
      <c r="W2">
        <f>BDH("RLMD US Equity","WORKING_CAPITAL","1993-06-18","2026-05-02","Per=Y","Days=T","Dir=V")</f>
        <v>0</v>
      </c>
      <c r="Y2">
        <f>BDH("RLMD US Equity","SALES_REV_TURN","1993-06-18","2026-05-02","Per=Y","Days=T","Dir=V")</f>
        <v>0</v>
      </c>
      <c r="AA2">
        <f>BDH("RLMD US Equity","EBIT","1993-06-18","2026-05-02","Per=Y","Days=T","Dir=V")</f>
        <v>0</v>
      </c>
      <c r="AC2">
        <f>BDH("RLMD US Equity","EBITDA","1993-06-18","2026-05-02","Per=Y","Days=T","Dir=V")</f>
        <v>0</v>
      </c>
      <c r="AE2">
        <f>BDH("RLMD US Equity","NET_INCOME","1993-06-18","2026-05-02","Per=Y","Days=T","Dir=V")</f>
        <v>0</v>
      </c>
      <c r="AG2">
        <f>BDH("RLMD US Equity","IS_INT_EXPENSE","1993-06-18","2026-05-02","Per=Y","Days=T","Dir=V")</f>
        <v>0</v>
      </c>
      <c r="AI2">
        <f>BDH("RLMD US Equity","IS_DEPR_EXP","1993-06-18","2026-05-02","Per=Y","Days=T","Dir=V")</f>
        <v>0</v>
      </c>
      <c r="AK2">
        <f>BDH("RLMD US Equity","CF_CASH_FROM_OPER","1993-06-18","2026-05-02","Per=Y","Days=T","Dir=V")</f>
        <v>0</v>
      </c>
      <c r="AM2">
        <f>BDH("RLMD US Equity","CAPITAL_EXPEND","1993-06-18","2026-05-02","Per=Y","Days=T","Dir=V")</f>
        <v>0</v>
      </c>
      <c r="AO2">
        <f>BDH("RLMD US Equity","CF_FREE_CASH_FLOW","1993-06-18","2026-05-02","Per=Y","Days=T","Dir=V")</f>
        <v>0</v>
      </c>
      <c r="AQ2">
        <f>BDH("RLMD US Equity","PX_LAST","1993-06-18","2026-05-02","Per=M","Days=T","Dir=V")</f>
        <v>0</v>
      </c>
      <c r="AS2">
        <f>BDH("RLMD US Equity","CUR_MKT_CAP","1993-06-18","2026-05-02","Per=M","Days=T","Dir=V")</f>
        <v>0</v>
      </c>
      <c r="AU2">
        <f>BDH("RLMD US Equity","EQY_SH_OUT","1993-06-18","2026-05-02","Per=M","Days=T","Dir=V")</f>
        <v>0</v>
      </c>
      <c r="AW2">
        <f>BDH("RLMD US Equity","PX_VOLUME","1993-06-18","2026-05-02","Per=M","Days=T","Dir=V")</f>
        <v>0</v>
      </c>
      <c r="AY2">
        <f>BDH("RLMD US Equity","TURNOVER","1993-06-18","2026-05-02","Per=M","Days=T","Dir=V")</f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BDH("RLYB US Equity","BS_TOT_ASSET","1993-06-18","2026-05-02","Per=Y","Days=T","Dir=V")</f>
        <v>0</v>
      </c>
      <c r="C2">
        <f>BDH("RLYB US Equity","BS_TOT_LIAB2","1993-06-18","2026-05-02","Per=Y","Days=T","Dir=V")</f>
        <v>0</v>
      </c>
      <c r="E2">
        <f>BDH("RLYB US Equity","SHORT_AND_LONG_TERM_DEBT","1993-06-18","2026-05-02","Per=Y","Days=T","Dir=V")</f>
        <v>0</v>
      </c>
      <c r="G2">
        <f>BDH("RLYB US Equity","BS_ST_BORROW","1993-06-18","2026-05-02","Per=Y","Days=T","Dir=V")</f>
        <v>0</v>
      </c>
      <c r="I2">
        <f>BDH("RLYB US Equity","BS_LT_BORROW","1993-06-18","2026-05-02","Per=Y","Days=T","Dir=V")</f>
        <v>0</v>
      </c>
      <c r="K2">
        <f>BDH("RLYB US Equity","BS_CASH_NEAR_CASH_ITEM","1993-06-18","2026-05-02","Per=Y","Days=T","Dir=V")</f>
        <v>0</v>
      </c>
      <c r="M2">
        <f>BDH("RLYB US Equity","BS_CUR_ASSET_REPORT","1993-06-18","2026-05-02","Per=Y","Days=T","Dir=V")</f>
        <v>0</v>
      </c>
      <c r="O2">
        <f>BDH("RLYB US Equity","BS_CUR_LIAB","1993-06-18","2026-05-02","Per=Y","Days=T","Dir=V")</f>
        <v>0</v>
      </c>
      <c r="Q2">
        <f>BDH("RLYB US Equity","BS_SHAREHOLDER_EQY_ENDING_PERIOD","1993-06-18","2026-05-02","Per=Y","Days=T","Dir=V")</f>
        <v>0</v>
      </c>
      <c r="S2">
        <f>BDH("RLYB US Equity","BS_ACCT_NOTE_RCV","1993-06-18","2026-05-02","Per=Y","Days=T","Dir=V")</f>
        <v>0</v>
      </c>
      <c r="U2">
        <f>BDH("RLYB US Equity","BS_INVENTORIES","1993-06-18","2026-05-02","Per=Y","Days=T","Dir=V")</f>
        <v>0</v>
      </c>
      <c r="W2">
        <f>BDH("RLYB US Equity","WORKING_CAPITAL","1993-06-18","2026-05-02","Per=Y","Days=T","Dir=V")</f>
        <v>0</v>
      </c>
      <c r="Y2">
        <f>BDH("RLYB US Equity","SALES_REV_TURN","1993-06-18","2026-05-02","Per=Y","Days=T","Dir=V")</f>
        <v>0</v>
      </c>
      <c r="AA2">
        <f>BDH("RLYB US Equity","EBIT","1993-06-18","2026-05-02","Per=Y","Days=T","Dir=V")</f>
        <v>0</v>
      </c>
      <c r="AC2">
        <f>BDH("RLYB US Equity","EBITDA","1993-06-18","2026-05-02","Per=Y","Days=T","Dir=V")</f>
        <v>0</v>
      </c>
      <c r="AE2">
        <f>BDH("RLYB US Equity","NET_INCOME","1993-06-18","2026-05-02","Per=Y","Days=T","Dir=V")</f>
        <v>0</v>
      </c>
      <c r="AG2">
        <f>BDH("RLYB US Equity","IS_INT_EXPENSE","1993-06-18","2026-05-02","Per=Y","Days=T","Dir=V")</f>
        <v>0</v>
      </c>
      <c r="AI2">
        <f>BDH("RLYB US Equity","IS_DEPR_EXP","1993-06-18","2026-05-02","Per=Y","Days=T","Dir=V")</f>
        <v>0</v>
      </c>
      <c r="AK2">
        <f>BDH("RLYB US Equity","CF_CASH_FROM_OPER","1993-06-18","2026-05-02","Per=Y","Days=T","Dir=V")</f>
        <v>0</v>
      </c>
      <c r="AM2">
        <f>BDH("RLYB US Equity","CAPITAL_EXPEND","1993-06-18","2026-05-02","Per=Y","Days=T","Dir=V")</f>
        <v>0</v>
      </c>
      <c r="AO2">
        <f>BDH("RLYB US Equity","CF_FREE_CASH_FLOW","1993-06-18","2026-05-02","Per=Y","Days=T","Dir=V")</f>
        <v>0</v>
      </c>
      <c r="AQ2">
        <f>BDH("RLYB US Equity","PX_LAST","1993-06-18","2026-05-02","Per=M","Days=T","Dir=V")</f>
        <v>0</v>
      </c>
      <c r="AS2">
        <f>BDH("RLYB US Equity","CUR_MKT_CAP","1993-06-18","2026-05-02","Per=M","Days=T","Dir=V")</f>
        <v>0</v>
      </c>
      <c r="AU2">
        <f>BDH("RLYB US Equity","EQY_SH_OUT","1993-06-18","2026-05-02","Per=M","Days=T","Dir=V")</f>
        <v>0</v>
      </c>
      <c r="AW2">
        <f>BDH("RLYB US Equity","PX_VOLUME","1993-06-18","2026-05-02","Per=M","Days=T","Dir=V")</f>
        <v>0</v>
      </c>
      <c r="AY2">
        <f>BDH("RLYB US Equity","TURNOVER","1993-06-18","2026-05-02","Per=M","Days=T","Dir=V")</f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BDH("RMBS US Equity","BS_TOT_ASSET","1993-06-18","2026-05-02","Per=Y","Days=T","Dir=V")</f>
        <v>0</v>
      </c>
      <c r="C2">
        <f>BDH("RMBS US Equity","BS_TOT_LIAB2","1993-06-18","2026-05-02","Per=Y","Days=T","Dir=V")</f>
        <v>0</v>
      </c>
      <c r="E2">
        <f>BDH("RMBS US Equity","SHORT_AND_LONG_TERM_DEBT","1993-06-18","2026-05-02","Per=Y","Days=T","Dir=V")</f>
        <v>0</v>
      </c>
      <c r="G2">
        <f>BDH("RMBS US Equity","BS_ST_BORROW","1993-06-18","2026-05-02","Per=Y","Days=T","Dir=V")</f>
        <v>0</v>
      </c>
      <c r="I2">
        <f>BDH("RMBS US Equity","BS_LT_BORROW","1993-06-18","2026-05-02","Per=Y","Days=T","Dir=V")</f>
        <v>0</v>
      </c>
      <c r="K2">
        <f>BDH("RMBS US Equity","BS_CASH_NEAR_CASH_ITEM","1993-06-18","2026-05-02","Per=Y","Days=T","Dir=V")</f>
        <v>0</v>
      </c>
      <c r="M2">
        <f>BDH("RMBS US Equity","BS_CUR_ASSET_REPORT","1993-06-18","2026-05-02","Per=Y","Days=T","Dir=V")</f>
        <v>0</v>
      </c>
      <c r="O2">
        <f>BDH("RMBS US Equity","BS_CUR_LIAB","1993-06-18","2026-05-02","Per=Y","Days=T","Dir=V")</f>
        <v>0</v>
      </c>
      <c r="Q2">
        <f>BDH("RMBS US Equity","BS_SHAREHOLDER_EQY_ENDING_PERIOD","1993-06-18","2026-05-02","Per=Y","Days=T","Dir=V")</f>
        <v>0</v>
      </c>
      <c r="S2">
        <f>BDH("RMBS US Equity","BS_ACCT_NOTE_RCV","1993-06-18","2026-05-02","Per=Y","Days=T","Dir=V")</f>
        <v>0</v>
      </c>
      <c r="U2">
        <f>BDH("RMBS US Equity","BS_INVENTORIES","1993-06-18","2026-05-02","Per=Y","Days=T","Dir=V")</f>
        <v>0</v>
      </c>
      <c r="W2">
        <f>BDH("RMBS US Equity","WORKING_CAPITAL","1993-06-18","2026-05-02","Per=Y","Days=T","Dir=V")</f>
        <v>0</v>
      </c>
      <c r="Y2">
        <f>BDH("RMBS US Equity","SALES_REV_TURN","1993-06-18","2026-05-02","Per=Y","Days=T","Dir=V")</f>
        <v>0</v>
      </c>
      <c r="AA2">
        <f>BDH("RMBS US Equity","EBIT","1993-06-18","2026-05-02","Per=Y","Days=T","Dir=V")</f>
        <v>0</v>
      </c>
      <c r="AC2">
        <f>BDH("RMBS US Equity","EBITDA","1993-06-18","2026-05-02","Per=Y","Days=T","Dir=V")</f>
        <v>0</v>
      </c>
      <c r="AE2">
        <f>BDH("RMBS US Equity","NET_INCOME","1993-06-18","2026-05-02","Per=Y","Days=T","Dir=V")</f>
        <v>0</v>
      </c>
      <c r="AG2">
        <f>BDH("RMBS US Equity","IS_INT_EXPENSE","1993-06-18","2026-05-02","Per=Y","Days=T","Dir=V")</f>
        <v>0</v>
      </c>
      <c r="AI2">
        <f>BDH("RMBS US Equity","IS_DEPR_EXP","1993-06-18","2026-05-02","Per=Y","Days=T","Dir=V")</f>
        <v>0</v>
      </c>
      <c r="AK2">
        <f>BDH("RMBS US Equity","CF_CASH_FROM_OPER","1993-06-18","2026-05-02","Per=Y","Days=T","Dir=V")</f>
        <v>0</v>
      </c>
      <c r="AM2">
        <f>BDH("RMBS US Equity","CAPITAL_EXPEND","1993-06-18","2026-05-02","Per=Y","Days=T","Dir=V")</f>
        <v>0</v>
      </c>
      <c r="AO2">
        <f>BDH("RMBS US Equity","CF_FREE_CASH_FLOW","1993-06-18","2026-05-02","Per=Y","Days=T","Dir=V")</f>
        <v>0</v>
      </c>
      <c r="AQ2">
        <f>BDH("RMBS US Equity","PX_LAST","1993-06-18","2026-05-02","Per=M","Days=T","Dir=V")</f>
        <v>0</v>
      </c>
      <c r="AS2">
        <f>BDH("RMBS US Equity","CUR_MKT_CAP","1993-06-18","2026-05-02","Per=M","Days=T","Dir=V")</f>
        <v>0</v>
      </c>
      <c r="AU2">
        <f>BDH("RMBS US Equity","EQY_SH_OUT","1993-06-18","2026-05-02","Per=M","Days=T","Dir=V")</f>
        <v>0</v>
      </c>
      <c r="AW2">
        <f>BDH("RMBS US Equity","PX_VOLUME","1993-06-18","2026-05-02","Per=M","Days=T","Dir=V")</f>
        <v>0</v>
      </c>
      <c r="AY2">
        <f>BDH("RMBS US Equity","TURNOVER","1993-06-18","2026-05-02","Per=M","Days=T","Dir=V")</f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BDH("RMCF US Equity","BS_TOT_ASSET","1993-06-18","2026-05-02","Per=Y","Days=T","Dir=V")</f>
        <v>0</v>
      </c>
      <c r="C2">
        <f>BDH("RMCF US Equity","BS_TOT_LIAB2","1993-06-18","2026-05-02","Per=Y","Days=T","Dir=V")</f>
        <v>0</v>
      </c>
      <c r="E2">
        <f>BDH("RMCF US Equity","SHORT_AND_LONG_TERM_DEBT","1993-06-18","2026-05-02","Per=Y","Days=T","Dir=V")</f>
        <v>0</v>
      </c>
      <c r="G2">
        <f>BDH("RMCF US Equity","BS_ST_BORROW","1993-06-18","2026-05-02","Per=Y","Days=T","Dir=V")</f>
        <v>0</v>
      </c>
      <c r="I2">
        <f>BDH("RMCF US Equity","BS_LT_BORROW","1993-06-18","2026-05-02","Per=Y","Days=T","Dir=V")</f>
        <v>0</v>
      </c>
      <c r="K2">
        <f>BDH("RMCF US Equity","BS_CASH_NEAR_CASH_ITEM","1993-06-18","2026-05-02","Per=Y","Days=T","Dir=V")</f>
        <v>0</v>
      </c>
      <c r="M2">
        <f>BDH("RMCF US Equity","BS_CUR_ASSET_REPORT","1993-06-18","2026-05-02","Per=Y","Days=T","Dir=V")</f>
        <v>0</v>
      </c>
      <c r="O2">
        <f>BDH("RMCF US Equity","BS_CUR_LIAB","1993-06-18","2026-05-02","Per=Y","Days=T","Dir=V")</f>
        <v>0</v>
      </c>
      <c r="Q2">
        <f>BDH("RMCF US Equity","BS_SHAREHOLDER_EQY_ENDING_PERIOD","1993-06-18","2026-05-02","Per=Y","Days=T","Dir=V")</f>
        <v>0</v>
      </c>
      <c r="S2">
        <f>BDH("RMCF US Equity","BS_ACCT_NOTE_RCV","1993-06-18","2026-05-02","Per=Y","Days=T","Dir=V")</f>
        <v>0</v>
      </c>
      <c r="U2">
        <f>BDH("RMCF US Equity","BS_INVENTORIES","1993-06-18","2026-05-02","Per=Y","Days=T","Dir=V")</f>
        <v>0</v>
      </c>
      <c r="W2">
        <f>BDH("RMCF US Equity","WORKING_CAPITAL","1993-06-18","2026-05-02","Per=Y","Days=T","Dir=V")</f>
        <v>0</v>
      </c>
      <c r="Y2">
        <f>BDH("RMCF US Equity","SALES_REV_TURN","1993-06-18","2026-05-02","Per=Y","Days=T","Dir=V")</f>
        <v>0</v>
      </c>
      <c r="AA2">
        <f>BDH("RMCF US Equity","EBIT","1993-06-18","2026-05-02","Per=Y","Days=T","Dir=V")</f>
        <v>0</v>
      </c>
      <c r="AC2">
        <f>BDH("RMCF US Equity","EBITDA","1993-06-18","2026-05-02","Per=Y","Days=T","Dir=V")</f>
        <v>0</v>
      </c>
      <c r="AE2">
        <f>BDH("RMCF US Equity","NET_INCOME","1993-06-18","2026-05-02","Per=Y","Days=T","Dir=V")</f>
        <v>0</v>
      </c>
      <c r="AG2">
        <f>BDH("RMCF US Equity","IS_INT_EXPENSE","1993-06-18","2026-05-02","Per=Y","Days=T","Dir=V")</f>
        <v>0</v>
      </c>
      <c r="AI2">
        <f>BDH("RMCF US Equity","IS_DEPR_EXP","1993-06-18","2026-05-02","Per=Y","Days=T","Dir=V")</f>
        <v>0</v>
      </c>
      <c r="AK2">
        <f>BDH("RMCF US Equity","CF_CASH_FROM_OPER","1993-06-18","2026-05-02","Per=Y","Days=T","Dir=V")</f>
        <v>0</v>
      </c>
      <c r="AM2">
        <f>BDH("RMCF US Equity","CAPITAL_EXPEND","1993-06-18","2026-05-02","Per=Y","Days=T","Dir=V")</f>
        <v>0</v>
      </c>
      <c r="AO2">
        <f>BDH("RMCF US Equity","CF_FREE_CASH_FLOW","1993-06-18","2026-05-02","Per=Y","Days=T","Dir=V")</f>
        <v>0</v>
      </c>
      <c r="AQ2">
        <f>BDH("RMCF US Equity","PX_LAST","1993-06-18","2026-05-02","Per=M","Days=T","Dir=V")</f>
        <v>0</v>
      </c>
      <c r="AS2">
        <f>BDH("RMCF US Equity","CUR_MKT_CAP","1993-06-18","2026-05-02","Per=M","Days=T","Dir=V")</f>
        <v>0</v>
      </c>
      <c r="AU2">
        <f>BDH("RMCF US Equity","EQY_SH_OUT","1993-06-18","2026-05-02","Per=M","Days=T","Dir=V")</f>
        <v>0</v>
      </c>
      <c r="AW2">
        <f>BDH("RMCF US Equity","PX_VOLUME","1993-06-18","2026-05-02","Per=M","Days=T","Dir=V")</f>
        <v>0</v>
      </c>
      <c r="AY2">
        <f>BDH("RMCF US Equity","TURNOVER","1993-06-18","2026-05-02","Per=M","Days=T","Dir=V")</f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BDH("RMD US Equity","BS_TOT_ASSET","1993-06-18","2026-05-02","Per=Y","Days=T","Dir=V")</f>
        <v>0</v>
      </c>
      <c r="C2">
        <f>BDH("RMD US Equity","BS_TOT_LIAB2","1993-06-18","2026-05-02","Per=Y","Days=T","Dir=V")</f>
        <v>0</v>
      </c>
      <c r="E2">
        <f>BDH("RMD US Equity","SHORT_AND_LONG_TERM_DEBT","1993-06-18","2026-05-02","Per=Y","Days=T","Dir=V")</f>
        <v>0</v>
      </c>
      <c r="G2">
        <f>BDH("RMD US Equity","BS_ST_BORROW","1993-06-18","2026-05-02","Per=Y","Days=T","Dir=V")</f>
        <v>0</v>
      </c>
      <c r="I2">
        <f>BDH("RMD US Equity","BS_LT_BORROW","1993-06-18","2026-05-02","Per=Y","Days=T","Dir=V")</f>
        <v>0</v>
      </c>
      <c r="K2">
        <f>BDH("RMD US Equity","BS_CASH_NEAR_CASH_ITEM","1993-06-18","2026-05-02","Per=Y","Days=T","Dir=V")</f>
        <v>0</v>
      </c>
      <c r="M2">
        <f>BDH("RMD US Equity","BS_CUR_ASSET_REPORT","1993-06-18","2026-05-02","Per=Y","Days=T","Dir=V")</f>
        <v>0</v>
      </c>
      <c r="O2">
        <f>BDH("RMD US Equity","BS_CUR_LIAB","1993-06-18","2026-05-02","Per=Y","Days=T","Dir=V")</f>
        <v>0</v>
      </c>
      <c r="Q2">
        <f>BDH("RMD US Equity","BS_SHAREHOLDER_EQY_ENDING_PERIOD","1993-06-18","2026-05-02","Per=Y","Days=T","Dir=V")</f>
        <v>0</v>
      </c>
      <c r="S2">
        <f>BDH("RMD US Equity","BS_ACCT_NOTE_RCV","1993-06-18","2026-05-02","Per=Y","Days=T","Dir=V")</f>
        <v>0</v>
      </c>
      <c r="U2">
        <f>BDH("RMD US Equity","BS_INVENTORIES","1993-06-18","2026-05-02","Per=Y","Days=T","Dir=V")</f>
        <v>0</v>
      </c>
      <c r="W2">
        <f>BDH("RMD US Equity","WORKING_CAPITAL","1993-06-18","2026-05-02","Per=Y","Days=T","Dir=V")</f>
        <v>0</v>
      </c>
      <c r="Y2">
        <f>BDH("RMD US Equity","SALES_REV_TURN","1993-06-18","2026-05-02","Per=Y","Days=T","Dir=V")</f>
        <v>0</v>
      </c>
      <c r="AA2">
        <f>BDH("RMD US Equity","EBIT","1993-06-18","2026-05-02","Per=Y","Days=T","Dir=V")</f>
        <v>0</v>
      </c>
      <c r="AC2">
        <f>BDH("RMD US Equity","EBITDA","1993-06-18","2026-05-02","Per=Y","Days=T","Dir=V")</f>
        <v>0</v>
      </c>
      <c r="AE2">
        <f>BDH("RMD US Equity","NET_INCOME","1993-06-18","2026-05-02","Per=Y","Days=T","Dir=V")</f>
        <v>0</v>
      </c>
      <c r="AG2">
        <f>BDH("RMD US Equity","IS_INT_EXPENSE","1993-06-18","2026-05-02","Per=Y","Days=T","Dir=V")</f>
        <v>0</v>
      </c>
      <c r="AI2">
        <f>BDH("RMD US Equity","IS_DEPR_EXP","1993-06-18","2026-05-02","Per=Y","Days=T","Dir=V")</f>
        <v>0</v>
      </c>
      <c r="AK2">
        <f>BDH("RMD US Equity","CF_CASH_FROM_OPER","1993-06-18","2026-05-02","Per=Y","Days=T","Dir=V")</f>
        <v>0</v>
      </c>
      <c r="AM2">
        <f>BDH("RMD US Equity","CAPITAL_EXPEND","1993-06-18","2026-05-02","Per=Y","Days=T","Dir=V")</f>
        <v>0</v>
      </c>
      <c r="AO2">
        <f>BDH("RMD US Equity","CF_FREE_CASH_FLOW","1993-06-18","2026-05-02","Per=Y","Days=T","Dir=V")</f>
        <v>0</v>
      </c>
      <c r="AQ2">
        <f>BDH("RMD US Equity","PX_LAST","1993-06-18","2026-05-02","Per=M","Days=T","Dir=V")</f>
        <v>0</v>
      </c>
      <c r="AS2">
        <f>BDH("RMD US Equity","CUR_MKT_CAP","1993-06-18","2026-05-02","Per=M","Days=T","Dir=V")</f>
        <v>0</v>
      </c>
      <c r="AU2">
        <f>BDH("RMD US Equity","EQY_SH_OUT","1993-06-18","2026-05-02","Per=M","Days=T","Dir=V")</f>
        <v>0</v>
      </c>
      <c r="AW2">
        <f>BDH("RMD US Equity","PX_VOLUME","1993-06-18","2026-05-02","Per=M","Days=T","Dir=V")</f>
        <v>0</v>
      </c>
      <c r="AY2">
        <f>BDH("RMD US Equity","TURNOVER","1993-06-18","2026-05-02","Per=M","Days=T","Dir=V")</f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BDH("RMIX US Equity","BS_TOT_ASSET","1993-06-18","2026-05-02","Per=Y","Days=T","Dir=V")</f>
        <v>0</v>
      </c>
      <c r="C2">
        <f>BDH("RMIX US Equity","BS_TOT_LIAB2","1993-06-18","2026-05-02","Per=Y","Days=T","Dir=V")</f>
        <v>0</v>
      </c>
      <c r="E2">
        <f>BDH("RMIX US Equity","SHORT_AND_LONG_TERM_DEBT","1993-06-18","2026-05-02","Per=Y","Days=T","Dir=V")</f>
        <v>0</v>
      </c>
      <c r="G2">
        <f>BDH("RMIX US Equity","BS_ST_BORROW","1993-06-18","2026-05-02","Per=Y","Days=T","Dir=V")</f>
        <v>0</v>
      </c>
      <c r="I2">
        <f>BDH("RMIX US Equity","BS_LT_BORROW","1993-06-18","2026-05-02","Per=Y","Days=T","Dir=V")</f>
        <v>0</v>
      </c>
      <c r="K2">
        <f>BDH("RMIX US Equity","BS_CASH_NEAR_CASH_ITEM","1993-06-18","2026-05-02","Per=Y","Days=T","Dir=V")</f>
        <v>0</v>
      </c>
      <c r="M2">
        <f>BDH("RMIX US Equity","BS_CUR_ASSET_REPORT","1993-06-18","2026-05-02","Per=Y","Days=T","Dir=V")</f>
        <v>0</v>
      </c>
      <c r="O2">
        <f>BDH("RMIX US Equity","BS_CUR_LIAB","1993-06-18","2026-05-02","Per=Y","Days=T","Dir=V")</f>
        <v>0</v>
      </c>
      <c r="Q2">
        <f>BDH("RMIX US Equity","BS_SHAREHOLDER_EQY_ENDING_PERIOD","1993-06-18","2026-05-02","Per=Y","Days=T","Dir=V")</f>
        <v>0</v>
      </c>
      <c r="S2">
        <f>BDH("RMIX US Equity","BS_ACCT_NOTE_RCV","1993-06-18","2026-05-02","Per=Y","Days=T","Dir=V")</f>
        <v>0</v>
      </c>
      <c r="U2">
        <f>BDH("RMIX US Equity","BS_INVENTORIES","1993-06-18","2026-05-02","Per=Y","Days=T","Dir=V")</f>
        <v>0</v>
      </c>
      <c r="W2">
        <f>BDH("RMIX US Equity","WORKING_CAPITAL","1993-06-18","2026-05-02","Per=Y","Days=T","Dir=V")</f>
        <v>0</v>
      </c>
      <c r="Y2">
        <f>BDH("RMIX US Equity","SALES_REV_TURN","1993-06-18","2026-05-02","Per=Y","Days=T","Dir=V")</f>
        <v>0</v>
      </c>
      <c r="AA2">
        <f>BDH("RMIX US Equity","EBIT","1993-06-18","2026-05-02","Per=Y","Days=T","Dir=V")</f>
        <v>0</v>
      </c>
      <c r="AC2">
        <f>BDH("RMIX US Equity","EBITDA","1993-06-18","2026-05-02","Per=Y","Days=T","Dir=V")</f>
        <v>0</v>
      </c>
      <c r="AE2">
        <f>BDH("RMIX US Equity","NET_INCOME","1993-06-18","2026-05-02","Per=Y","Days=T","Dir=V")</f>
        <v>0</v>
      </c>
      <c r="AG2">
        <f>BDH("RMIX US Equity","IS_INT_EXPENSE","1993-06-18","2026-05-02","Per=Y","Days=T","Dir=V")</f>
        <v>0</v>
      </c>
      <c r="AI2">
        <f>BDH("RMIX US Equity","IS_DEPR_EXP","1993-06-18","2026-05-02","Per=Y","Days=T","Dir=V")</f>
        <v>0</v>
      </c>
      <c r="AK2">
        <f>BDH("RMIX US Equity","CF_CASH_FROM_OPER","1993-06-18","2026-05-02","Per=Y","Days=T","Dir=V")</f>
        <v>0</v>
      </c>
      <c r="AM2">
        <f>BDH("RMIX US Equity","CAPITAL_EXPEND","1993-06-18","2026-05-02","Per=Y","Days=T","Dir=V")</f>
        <v>0</v>
      </c>
      <c r="AO2">
        <f>BDH("RMIX US Equity","CF_FREE_CASH_FLOW","1993-06-18","2026-05-02","Per=Y","Days=T","Dir=V")</f>
        <v>0</v>
      </c>
      <c r="AQ2">
        <f>BDH("RMIX US Equity","PX_LAST","1993-06-18","2026-05-02","Per=M","Days=T","Dir=V")</f>
        <v>0</v>
      </c>
      <c r="AS2">
        <f>BDH("RMIX US Equity","CUR_MKT_CAP","1993-06-18","2026-05-02","Per=M","Days=T","Dir=V")</f>
        <v>0</v>
      </c>
      <c r="AU2">
        <f>BDH("RMIX US Equity","EQY_SH_OUT","1993-06-18","2026-05-02","Per=M","Days=T","Dir=V")</f>
        <v>0</v>
      </c>
      <c r="AW2">
        <f>BDH("RMIX US Equity","PX_VOLUME","1993-06-18","2026-05-02","Per=M","Days=T","Dir=V")</f>
        <v>0</v>
      </c>
      <c r="AY2">
        <f>BDH("RMIX US Equity","TURNOVER","1993-06-18","2026-05-02","Per=M","Days=T","Dir=V")</f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BDH("RMNI US Equity","BS_TOT_ASSET","1993-06-18","2026-05-02","Per=Y","Days=T","Dir=V")</f>
        <v>0</v>
      </c>
      <c r="C2">
        <f>BDH("RMNI US Equity","BS_TOT_LIAB2","1993-06-18","2026-05-02","Per=Y","Days=T","Dir=V")</f>
        <v>0</v>
      </c>
      <c r="E2">
        <f>BDH("RMNI US Equity","SHORT_AND_LONG_TERM_DEBT","1993-06-18","2026-05-02","Per=Y","Days=T","Dir=V")</f>
        <v>0</v>
      </c>
      <c r="G2">
        <f>BDH("RMNI US Equity","BS_ST_BORROW","1993-06-18","2026-05-02","Per=Y","Days=T","Dir=V")</f>
        <v>0</v>
      </c>
      <c r="I2">
        <f>BDH("RMNI US Equity","BS_LT_BORROW","1993-06-18","2026-05-02","Per=Y","Days=T","Dir=V")</f>
        <v>0</v>
      </c>
      <c r="K2">
        <f>BDH("RMNI US Equity","BS_CASH_NEAR_CASH_ITEM","1993-06-18","2026-05-02","Per=Y","Days=T","Dir=V")</f>
        <v>0</v>
      </c>
      <c r="M2">
        <f>BDH("RMNI US Equity","BS_CUR_ASSET_REPORT","1993-06-18","2026-05-02","Per=Y","Days=T","Dir=V")</f>
        <v>0</v>
      </c>
      <c r="O2">
        <f>BDH("RMNI US Equity","BS_CUR_LIAB","1993-06-18","2026-05-02","Per=Y","Days=T","Dir=V")</f>
        <v>0</v>
      </c>
      <c r="Q2">
        <f>BDH("RMNI US Equity","BS_SHAREHOLDER_EQY_ENDING_PERIOD","1993-06-18","2026-05-02","Per=Y","Days=T","Dir=V")</f>
        <v>0</v>
      </c>
      <c r="S2">
        <f>BDH("RMNI US Equity","BS_ACCT_NOTE_RCV","1993-06-18","2026-05-02","Per=Y","Days=T","Dir=V")</f>
        <v>0</v>
      </c>
      <c r="U2">
        <f>BDH("RMNI US Equity","BS_INVENTORIES","1993-06-18","2026-05-02","Per=Y","Days=T","Dir=V")</f>
        <v>0</v>
      </c>
      <c r="W2">
        <f>BDH("RMNI US Equity","WORKING_CAPITAL","1993-06-18","2026-05-02","Per=Y","Days=T","Dir=V")</f>
        <v>0</v>
      </c>
      <c r="Y2">
        <f>BDH("RMNI US Equity","SALES_REV_TURN","1993-06-18","2026-05-02","Per=Y","Days=T","Dir=V")</f>
        <v>0</v>
      </c>
      <c r="AA2">
        <f>BDH("RMNI US Equity","EBIT","1993-06-18","2026-05-02","Per=Y","Days=T","Dir=V")</f>
        <v>0</v>
      </c>
      <c r="AC2">
        <f>BDH("RMNI US Equity","EBITDA","1993-06-18","2026-05-02","Per=Y","Days=T","Dir=V")</f>
        <v>0</v>
      </c>
      <c r="AE2">
        <f>BDH("RMNI US Equity","NET_INCOME","1993-06-18","2026-05-02","Per=Y","Days=T","Dir=V")</f>
        <v>0</v>
      </c>
      <c r="AG2">
        <f>BDH("RMNI US Equity","IS_INT_EXPENSE","1993-06-18","2026-05-02","Per=Y","Days=T","Dir=V")</f>
        <v>0</v>
      </c>
      <c r="AI2">
        <f>BDH("RMNI US Equity","IS_DEPR_EXP","1993-06-18","2026-05-02","Per=Y","Days=T","Dir=V")</f>
        <v>0</v>
      </c>
      <c r="AK2">
        <f>BDH("RMNI US Equity","CF_CASH_FROM_OPER","1993-06-18","2026-05-02","Per=Y","Days=T","Dir=V")</f>
        <v>0</v>
      </c>
      <c r="AM2">
        <f>BDH("RMNI US Equity","CAPITAL_EXPEND","1993-06-18","2026-05-02","Per=Y","Days=T","Dir=V")</f>
        <v>0</v>
      </c>
      <c r="AO2">
        <f>BDH("RMNI US Equity","CF_FREE_CASH_FLOW","1993-06-18","2026-05-02","Per=Y","Days=T","Dir=V")</f>
        <v>0</v>
      </c>
      <c r="AQ2">
        <f>BDH("RMNI US Equity","PX_LAST","1993-06-18","2026-05-02","Per=M","Days=T","Dir=V")</f>
        <v>0</v>
      </c>
      <c r="AS2">
        <f>BDH("RMNI US Equity","CUR_MKT_CAP","1993-06-18","2026-05-02","Per=M","Days=T","Dir=V")</f>
        <v>0</v>
      </c>
      <c r="AU2">
        <f>BDH("RMNI US Equity","EQY_SH_OUT","1993-06-18","2026-05-02","Per=M","Days=T","Dir=V")</f>
        <v>0</v>
      </c>
      <c r="AW2">
        <f>BDH("RMNI US Equity","PX_VOLUME","1993-06-18","2026-05-02","Per=M","Days=T","Dir=V")</f>
        <v>0</v>
      </c>
      <c r="AY2">
        <f>BDH("RMNI US Equity","TURNOVER","1993-06-18","2026-05-02","Per=M","Days=T","Dir=V")</f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BDH("RMR US Equity","BS_TOT_ASSET","1993-06-18","2026-05-02","Per=Y","Days=T","Dir=V")</f>
        <v>0</v>
      </c>
      <c r="C2">
        <f>BDH("RMR US Equity","BS_TOT_LIAB2","1993-06-18","2026-05-02","Per=Y","Days=T","Dir=V")</f>
        <v>0</v>
      </c>
      <c r="E2">
        <f>BDH("RMR US Equity","SHORT_AND_LONG_TERM_DEBT","1993-06-18","2026-05-02","Per=Y","Days=T","Dir=V")</f>
        <v>0</v>
      </c>
      <c r="G2">
        <f>BDH("RMR US Equity","BS_ST_BORROW","1993-06-18","2026-05-02","Per=Y","Days=T","Dir=V")</f>
        <v>0</v>
      </c>
      <c r="I2">
        <f>BDH("RMR US Equity","BS_LT_BORROW","1993-06-18","2026-05-02","Per=Y","Days=T","Dir=V")</f>
        <v>0</v>
      </c>
      <c r="K2">
        <f>BDH("RMR US Equity","BS_CASH_NEAR_CASH_ITEM","1993-06-18","2026-05-02","Per=Y","Days=T","Dir=V")</f>
        <v>0</v>
      </c>
      <c r="M2">
        <f>BDH("RMR US Equity","BS_CUR_ASSET_REPORT","1993-06-18","2026-05-02","Per=Y","Days=T","Dir=V")</f>
        <v>0</v>
      </c>
      <c r="O2">
        <f>BDH("RMR US Equity","BS_CUR_LIAB","1993-06-18","2026-05-02","Per=Y","Days=T","Dir=V")</f>
        <v>0</v>
      </c>
      <c r="Q2">
        <f>BDH("RMR US Equity","BS_SHAREHOLDER_EQY_ENDING_PERIOD","1993-06-18","2026-05-02","Per=Y","Days=T","Dir=V")</f>
        <v>0</v>
      </c>
      <c r="S2">
        <f>BDH("RMR US Equity","BS_ACCT_NOTE_RCV","1993-06-18","2026-05-02","Per=Y","Days=T","Dir=V")</f>
        <v>0</v>
      </c>
      <c r="U2">
        <f>BDH("RMR US Equity","BS_INVENTORIES","1993-06-18","2026-05-02","Per=Y","Days=T","Dir=V")</f>
        <v>0</v>
      </c>
      <c r="W2">
        <f>BDH("RMR US Equity","WORKING_CAPITAL","1993-06-18","2026-05-02","Per=Y","Days=T","Dir=V")</f>
        <v>0</v>
      </c>
      <c r="Y2">
        <f>BDH("RMR US Equity","SALES_REV_TURN","1993-06-18","2026-05-02","Per=Y","Days=T","Dir=V")</f>
        <v>0</v>
      </c>
      <c r="AA2">
        <f>BDH("RMR US Equity","EBIT","1993-06-18","2026-05-02","Per=Y","Days=T","Dir=V")</f>
        <v>0</v>
      </c>
      <c r="AC2">
        <f>BDH("RMR US Equity","EBITDA","1993-06-18","2026-05-02","Per=Y","Days=T","Dir=V")</f>
        <v>0</v>
      </c>
      <c r="AE2">
        <f>BDH("RMR US Equity","NET_INCOME","1993-06-18","2026-05-02","Per=Y","Days=T","Dir=V")</f>
        <v>0</v>
      </c>
      <c r="AG2">
        <f>BDH("RMR US Equity","IS_INT_EXPENSE","1993-06-18","2026-05-02","Per=Y","Days=T","Dir=V")</f>
        <v>0</v>
      </c>
      <c r="AI2">
        <f>BDH("RMR US Equity","IS_DEPR_EXP","1993-06-18","2026-05-02","Per=Y","Days=T","Dir=V")</f>
        <v>0</v>
      </c>
      <c r="AK2">
        <f>BDH("RMR US Equity","CF_CASH_FROM_OPER","1993-06-18","2026-05-02","Per=Y","Days=T","Dir=V")</f>
        <v>0</v>
      </c>
      <c r="AM2">
        <f>BDH("RMR US Equity","CAPITAL_EXPEND","1993-06-18","2026-05-02","Per=Y","Days=T","Dir=V")</f>
        <v>0</v>
      </c>
      <c r="AO2">
        <f>BDH("RMR US Equity","CF_FREE_CASH_FLOW","1993-06-18","2026-05-02","Per=Y","Days=T","Dir=V")</f>
        <v>0</v>
      </c>
      <c r="AQ2">
        <f>BDH("RMR US Equity","PX_LAST","1993-06-18","2026-05-02","Per=M","Days=T","Dir=V")</f>
        <v>0</v>
      </c>
      <c r="AS2">
        <f>BDH("RMR US Equity","CUR_MKT_CAP","1993-06-18","2026-05-02","Per=M","Days=T","Dir=V")</f>
        <v>0</v>
      </c>
      <c r="AU2">
        <f>BDH("RMR US Equity","EQY_SH_OUT","1993-06-18","2026-05-02","Per=M","Days=T","Dir=V")</f>
        <v>0</v>
      </c>
      <c r="AW2">
        <f>BDH("RMR US Equity","PX_VOLUME","1993-06-18","2026-05-02","Per=M","Days=T","Dir=V")</f>
        <v>0</v>
      </c>
      <c r="AY2">
        <f>BDH("RMR US Equity","TURNOVER","1993-06-18","2026-05-02","Per=M","Days=T","Dir=V")</f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BDH("RMSG US Equity","BS_TOT_ASSET","1993-06-18","2026-05-02","Per=Y","Days=T","Dir=V")</f>
        <v>0</v>
      </c>
      <c r="C2">
        <f>BDH("RMSG US Equity","BS_TOT_LIAB2","1993-06-18","2026-05-02","Per=Y","Days=T","Dir=V")</f>
        <v>0</v>
      </c>
      <c r="E2">
        <f>BDH("RMSG US Equity","SHORT_AND_LONG_TERM_DEBT","1993-06-18","2026-05-02","Per=Y","Days=T","Dir=V")</f>
        <v>0</v>
      </c>
      <c r="G2">
        <f>BDH("RMSG US Equity","BS_ST_BORROW","1993-06-18","2026-05-02","Per=Y","Days=T","Dir=V")</f>
        <v>0</v>
      </c>
      <c r="I2">
        <f>BDH("RMSG US Equity","BS_LT_BORROW","1993-06-18","2026-05-02","Per=Y","Days=T","Dir=V")</f>
        <v>0</v>
      </c>
      <c r="K2">
        <f>BDH("RMSG US Equity","BS_CASH_NEAR_CASH_ITEM","1993-06-18","2026-05-02","Per=Y","Days=T","Dir=V")</f>
        <v>0</v>
      </c>
      <c r="M2">
        <f>BDH("RMSG US Equity","BS_CUR_ASSET_REPORT","1993-06-18","2026-05-02","Per=Y","Days=T","Dir=V")</f>
        <v>0</v>
      </c>
      <c r="O2">
        <f>BDH("RMSG US Equity","BS_CUR_LIAB","1993-06-18","2026-05-02","Per=Y","Days=T","Dir=V")</f>
        <v>0</v>
      </c>
      <c r="Q2">
        <f>BDH("RMSG US Equity","BS_SHAREHOLDER_EQY_ENDING_PERIOD","1993-06-18","2026-05-02","Per=Y","Days=T","Dir=V")</f>
        <v>0</v>
      </c>
      <c r="S2">
        <f>BDH("RMSG US Equity","BS_ACCT_NOTE_RCV","1993-06-18","2026-05-02","Per=Y","Days=T","Dir=V")</f>
        <v>0</v>
      </c>
      <c r="U2">
        <f>BDH("RMSG US Equity","BS_INVENTORIES","1993-06-18","2026-05-02","Per=Y","Days=T","Dir=V")</f>
        <v>0</v>
      </c>
      <c r="W2">
        <f>BDH("RMSG US Equity","WORKING_CAPITAL","1993-06-18","2026-05-02","Per=Y","Days=T","Dir=V")</f>
        <v>0</v>
      </c>
      <c r="Y2">
        <f>BDH("RMSG US Equity","SALES_REV_TURN","1993-06-18","2026-05-02","Per=Y","Days=T","Dir=V")</f>
        <v>0</v>
      </c>
      <c r="AA2">
        <f>BDH("RMSG US Equity","EBIT","1993-06-18","2026-05-02","Per=Y","Days=T","Dir=V")</f>
        <v>0</v>
      </c>
      <c r="AC2">
        <f>BDH("RMSG US Equity","EBITDA","1993-06-18","2026-05-02","Per=Y","Days=T","Dir=V")</f>
        <v>0</v>
      </c>
      <c r="AE2">
        <f>BDH("RMSG US Equity","NET_INCOME","1993-06-18","2026-05-02","Per=Y","Days=T","Dir=V")</f>
        <v>0</v>
      </c>
      <c r="AG2">
        <f>BDH("RMSG US Equity","IS_INT_EXPENSE","1993-06-18","2026-05-02","Per=Y","Days=T","Dir=V")</f>
        <v>0</v>
      </c>
      <c r="AI2">
        <f>BDH("RMSG US Equity","IS_DEPR_EXP","1993-06-18","2026-05-02","Per=Y","Days=T","Dir=V")</f>
        <v>0</v>
      </c>
      <c r="AK2">
        <f>BDH("RMSG US Equity","CF_CASH_FROM_OPER","1993-06-18","2026-05-02","Per=Y","Days=T","Dir=V")</f>
        <v>0</v>
      </c>
      <c r="AM2">
        <f>BDH("RMSG US Equity","CAPITAL_EXPEND","1993-06-18","2026-05-02","Per=Y","Days=T","Dir=V")</f>
        <v>0</v>
      </c>
      <c r="AO2">
        <f>BDH("RMSG US Equity","CF_FREE_CASH_FLOW","1993-06-18","2026-05-02","Per=Y","Days=T","Dir=V")</f>
        <v>0</v>
      </c>
      <c r="AQ2">
        <f>BDH("RMSG US Equity","PX_LAST","1993-06-18","2026-05-02","Per=M","Days=T","Dir=V")</f>
        <v>0</v>
      </c>
      <c r="AS2">
        <f>BDH("RMSG US Equity","CUR_MKT_CAP","1993-06-18","2026-05-02","Per=M","Days=T","Dir=V")</f>
        <v>0</v>
      </c>
      <c r="AU2">
        <f>BDH("RMSG US Equity","EQY_SH_OUT","1993-06-18","2026-05-02","Per=M","Days=T","Dir=V")</f>
        <v>0</v>
      </c>
      <c r="AW2">
        <f>BDH("RMSG US Equity","PX_VOLUME","1993-06-18","2026-05-02","Per=M","Days=T","Dir=V")</f>
        <v>0</v>
      </c>
      <c r="AY2">
        <f>BDH("RMSG US Equity","TURNOVER","1993-06-18","2026-05-02","Per=M","Days=T","Dir=V")</f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BDH("RMSGW US Equity","BS_TOT_ASSET","1993-06-18","2026-05-02","Per=Y","Days=T","Dir=V")</f>
        <v>0</v>
      </c>
      <c r="C2">
        <f>BDH("RMSGW US Equity","BS_TOT_LIAB2","1993-06-18","2026-05-02","Per=Y","Days=T","Dir=V")</f>
        <v>0</v>
      </c>
      <c r="E2">
        <f>BDH("RMSGW US Equity","SHORT_AND_LONG_TERM_DEBT","1993-06-18","2026-05-02","Per=Y","Days=T","Dir=V")</f>
        <v>0</v>
      </c>
      <c r="G2">
        <f>BDH("RMSGW US Equity","BS_ST_BORROW","1993-06-18","2026-05-02","Per=Y","Days=T","Dir=V")</f>
        <v>0</v>
      </c>
      <c r="I2">
        <f>BDH("RMSGW US Equity","BS_LT_BORROW","1993-06-18","2026-05-02","Per=Y","Days=T","Dir=V")</f>
        <v>0</v>
      </c>
      <c r="K2">
        <f>BDH("RMSGW US Equity","BS_CASH_NEAR_CASH_ITEM","1993-06-18","2026-05-02","Per=Y","Days=T","Dir=V")</f>
        <v>0</v>
      </c>
      <c r="M2">
        <f>BDH("RMSGW US Equity","BS_CUR_ASSET_REPORT","1993-06-18","2026-05-02","Per=Y","Days=T","Dir=V")</f>
        <v>0</v>
      </c>
      <c r="O2">
        <f>BDH("RMSGW US Equity","BS_CUR_LIAB","1993-06-18","2026-05-02","Per=Y","Days=T","Dir=V")</f>
        <v>0</v>
      </c>
      <c r="Q2">
        <f>BDH("RMSGW US Equity","BS_SHAREHOLDER_EQY_ENDING_PERIOD","1993-06-18","2026-05-02","Per=Y","Days=T","Dir=V")</f>
        <v>0</v>
      </c>
      <c r="S2">
        <f>BDH("RMSGW US Equity","BS_ACCT_NOTE_RCV","1993-06-18","2026-05-02","Per=Y","Days=T","Dir=V")</f>
        <v>0</v>
      </c>
      <c r="U2">
        <f>BDH("RMSGW US Equity","BS_INVENTORIES","1993-06-18","2026-05-02","Per=Y","Days=T","Dir=V")</f>
        <v>0</v>
      </c>
      <c r="W2">
        <f>BDH("RMSGW US Equity","WORKING_CAPITAL","1993-06-18","2026-05-02","Per=Y","Days=T","Dir=V")</f>
        <v>0</v>
      </c>
      <c r="Y2">
        <f>BDH("RMSGW US Equity","SALES_REV_TURN","1993-06-18","2026-05-02","Per=Y","Days=T","Dir=V")</f>
        <v>0</v>
      </c>
      <c r="AA2">
        <f>BDH("RMSGW US Equity","EBIT","1993-06-18","2026-05-02","Per=Y","Days=T","Dir=V")</f>
        <v>0</v>
      </c>
      <c r="AC2">
        <f>BDH("RMSGW US Equity","EBITDA","1993-06-18","2026-05-02","Per=Y","Days=T","Dir=V")</f>
        <v>0</v>
      </c>
      <c r="AE2">
        <f>BDH("RMSGW US Equity","NET_INCOME","1993-06-18","2026-05-02","Per=Y","Days=T","Dir=V")</f>
        <v>0</v>
      </c>
      <c r="AG2">
        <f>BDH("RMSGW US Equity","IS_INT_EXPENSE","1993-06-18","2026-05-02","Per=Y","Days=T","Dir=V")</f>
        <v>0</v>
      </c>
      <c r="AI2">
        <f>BDH("RMSGW US Equity","IS_DEPR_EXP","1993-06-18","2026-05-02","Per=Y","Days=T","Dir=V")</f>
        <v>0</v>
      </c>
      <c r="AK2">
        <f>BDH("RMSGW US Equity","CF_CASH_FROM_OPER","1993-06-18","2026-05-02","Per=Y","Days=T","Dir=V")</f>
        <v>0</v>
      </c>
      <c r="AM2">
        <f>BDH("RMSGW US Equity","CAPITAL_EXPEND","1993-06-18","2026-05-02","Per=Y","Days=T","Dir=V")</f>
        <v>0</v>
      </c>
      <c r="AO2">
        <f>BDH("RMSGW US Equity","CF_FREE_CASH_FLOW","1993-06-18","2026-05-02","Per=Y","Days=T","Dir=V")</f>
        <v>0</v>
      </c>
      <c r="AQ2">
        <f>BDH("RMSGW US Equity","PX_LAST","1993-06-18","2026-05-02","Per=M","Days=T","Dir=V")</f>
        <v>0</v>
      </c>
      <c r="AS2">
        <f>BDH("RMSGW US Equity","CUR_MKT_CAP","1993-06-18","2026-05-02","Per=M","Days=T","Dir=V")</f>
        <v>0</v>
      </c>
      <c r="AU2">
        <f>BDH("RMSGW US Equity","EQY_SH_OUT","1993-06-18","2026-05-02","Per=M","Days=T","Dir=V")</f>
        <v>0</v>
      </c>
      <c r="AW2">
        <f>BDH("RMSGW US Equity","PX_VOLUME","1993-06-18","2026-05-02","Per=M","Days=T","Dir=V")</f>
        <v>0</v>
      </c>
      <c r="AY2">
        <f>BDH("RMSGW US Equity","TURNOVER","1993-06-18","2026-05-02","Per=M","Days=T","Dir=V")</f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BDH("RMTI US Equity","BS_TOT_ASSET","1993-06-18","2026-05-02","Per=Y","Days=T","Dir=V")</f>
        <v>0</v>
      </c>
      <c r="C2">
        <f>BDH("RMTI US Equity","BS_TOT_LIAB2","1993-06-18","2026-05-02","Per=Y","Days=T","Dir=V")</f>
        <v>0</v>
      </c>
      <c r="E2">
        <f>BDH("RMTI US Equity","SHORT_AND_LONG_TERM_DEBT","1993-06-18","2026-05-02","Per=Y","Days=T","Dir=V")</f>
        <v>0</v>
      </c>
      <c r="G2">
        <f>BDH("RMTI US Equity","BS_ST_BORROW","1993-06-18","2026-05-02","Per=Y","Days=T","Dir=V")</f>
        <v>0</v>
      </c>
      <c r="I2">
        <f>BDH("RMTI US Equity","BS_LT_BORROW","1993-06-18","2026-05-02","Per=Y","Days=T","Dir=V")</f>
        <v>0</v>
      </c>
      <c r="K2">
        <f>BDH("RMTI US Equity","BS_CASH_NEAR_CASH_ITEM","1993-06-18","2026-05-02","Per=Y","Days=T","Dir=V")</f>
        <v>0</v>
      </c>
      <c r="M2">
        <f>BDH("RMTI US Equity","BS_CUR_ASSET_REPORT","1993-06-18","2026-05-02","Per=Y","Days=T","Dir=V")</f>
        <v>0</v>
      </c>
      <c r="O2">
        <f>BDH("RMTI US Equity","BS_CUR_LIAB","1993-06-18","2026-05-02","Per=Y","Days=T","Dir=V")</f>
        <v>0</v>
      </c>
      <c r="Q2">
        <f>BDH("RMTI US Equity","BS_SHAREHOLDER_EQY_ENDING_PERIOD","1993-06-18","2026-05-02","Per=Y","Days=T","Dir=V")</f>
        <v>0</v>
      </c>
      <c r="S2">
        <f>BDH("RMTI US Equity","BS_ACCT_NOTE_RCV","1993-06-18","2026-05-02","Per=Y","Days=T","Dir=V")</f>
        <v>0</v>
      </c>
      <c r="U2">
        <f>BDH("RMTI US Equity","BS_INVENTORIES","1993-06-18","2026-05-02","Per=Y","Days=T","Dir=V")</f>
        <v>0</v>
      </c>
      <c r="W2">
        <f>BDH("RMTI US Equity","WORKING_CAPITAL","1993-06-18","2026-05-02","Per=Y","Days=T","Dir=V")</f>
        <v>0</v>
      </c>
      <c r="Y2">
        <f>BDH("RMTI US Equity","SALES_REV_TURN","1993-06-18","2026-05-02","Per=Y","Days=T","Dir=V")</f>
        <v>0</v>
      </c>
      <c r="AA2">
        <f>BDH("RMTI US Equity","EBIT","1993-06-18","2026-05-02","Per=Y","Days=T","Dir=V")</f>
        <v>0</v>
      </c>
      <c r="AC2">
        <f>BDH("RMTI US Equity","EBITDA","1993-06-18","2026-05-02","Per=Y","Days=T","Dir=V")</f>
        <v>0</v>
      </c>
      <c r="AE2">
        <f>BDH("RMTI US Equity","NET_INCOME","1993-06-18","2026-05-02","Per=Y","Days=T","Dir=V")</f>
        <v>0</v>
      </c>
      <c r="AG2">
        <f>BDH("RMTI US Equity","IS_INT_EXPENSE","1993-06-18","2026-05-02","Per=Y","Days=T","Dir=V")</f>
        <v>0</v>
      </c>
      <c r="AI2">
        <f>BDH("RMTI US Equity","IS_DEPR_EXP","1993-06-18","2026-05-02","Per=Y","Days=T","Dir=V")</f>
        <v>0</v>
      </c>
      <c r="AK2">
        <f>BDH("RMTI US Equity","CF_CASH_FROM_OPER","1993-06-18","2026-05-02","Per=Y","Days=T","Dir=V")</f>
        <v>0</v>
      </c>
      <c r="AM2">
        <f>BDH("RMTI US Equity","CAPITAL_EXPEND","1993-06-18","2026-05-02","Per=Y","Days=T","Dir=V")</f>
        <v>0</v>
      </c>
      <c r="AO2">
        <f>BDH("RMTI US Equity","CF_FREE_CASH_FLOW","1993-06-18","2026-05-02","Per=Y","Days=T","Dir=V")</f>
        <v>0</v>
      </c>
      <c r="AQ2">
        <f>BDH("RMTI US Equity","PX_LAST","1993-06-18","2026-05-02","Per=M","Days=T","Dir=V")</f>
        <v>0</v>
      </c>
      <c r="AS2">
        <f>BDH("RMTI US Equity","CUR_MKT_CAP","1993-06-18","2026-05-02","Per=M","Days=T","Dir=V")</f>
        <v>0</v>
      </c>
      <c r="AU2">
        <f>BDH("RMTI US Equity","EQY_SH_OUT","1993-06-18","2026-05-02","Per=M","Days=T","Dir=V")</f>
        <v>0</v>
      </c>
      <c r="AW2">
        <f>BDH("RMTI US Equity","PX_VOLUME","1993-06-18","2026-05-02","Per=M","Days=T","Dir=V")</f>
        <v>0</v>
      </c>
      <c r="AY2">
        <f>BDH("RMTI US Equity","TURNOVER","1993-06-18","2026-05-02","Per=M","Days=T","Dir=V")</f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BDH("RNA US Equity","BS_TOT_ASSET","1993-06-18","2026-05-02","Per=Y","Days=T","Dir=V")</f>
        <v>0</v>
      </c>
      <c r="C2">
        <f>BDH("RNA US Equity","BS_TOT_LIAB2","1993-06-18","2026-05-02","Per=Y","Days=T","Dir=V")</f>
        <v>0</v>
      </c>
      <c r="E2">
        <f>BDH("RNA US Equity","SHORT_AND_LONG_TERM_DEBT","1993-06-18","2026-05-02","Per=Y","Days=T","Dir=V")</f>
        <v>0</v>
      </c>
      <c r="G2">
        <f>BDH("RNA US Equity","BS_ST_BORROW","1993-06-18","2026-05-02","Per=Y","Days=T","Dir=V")</f>
        <v>0</v>
      </c>
      <c r="I2">
        <f>BDH("RNA US Equity","BS_LT_BORROW","1993-06-18","2026-05-02","Per=Y","Days=T","Dir=V")</f>
        <v>0</v>
      </c>
      <c r="K2">
        <f>BDH("RNA US Equity","BS_CASH_NEAR_CASH_ITEM","1993-06-18","2026-05-02","Per=Y","Days=T","Dir=V")</f>
        <v>0</v>
      </c>
      <c r="M2">
        <f>BDH("RNA US Equity","BS_CUR_ASSET_REPORT","1993-06-18","2026-05-02","Per=Y","Days=T","Dir=V")</f>
        <v>0</v>
      </c>
      <c r="O2">
        <f>BDH("RNA US Equity","BS_CUR_LIAB","1993-06-18","2026-05-02","Per=Y","Days=T","Dir=V")</f>
        <v>0</v>
      </c>
      <c r="Q2">
        <f>BDH("RNA US Equity","BS_SHAREHOLDER_EQY_ENDING_PERIOD","1993-06-18","2026-05-02","Per=Y","Days=T","Dir=V")</f>
        <v>0</v>
      </c>
      <c r="S2">
        <f>BDH("RNA US Equity","BS_ACCT_NOTE_RCV","1993-06-18","2026-05-02","Per=Y","Days=T","Dir=V")</f>
        <v>0</v>
      </c>
      <c r="U2">
        <f>BDH("RNA US Equity","BS_INVENTORIES","1993-06-18","2026-05-02","Per=Y","Days=T","Dir=V")</f>
        <v>0</v>
      </c>
      <c r="W2">
        <f>BDH("RNA US Equity","WORKING_CAPITAL","1993-06-18","2026-05-02","Per=Y","Days=T","Dir=V")</f>
        <v>0</v>
      </c>
      <c r="Y2">
        <f>BDH("RNA US Equity","SALES_REV_TURN","1993-06-18","2026-05-02","Per=Y","Days=T","Dir=V")</f>
        <v>0</v>
      </c>
      <c r="AA2">
        <f>BDH("RNA US Equity","EBIT","1993-06-18","2026-05-02","Per=Y","Days=T","Dir=V")</f>
        <v>0</v>
      </c>
      <c r="AC2">
        <f>BDH("RNA US Equity","EBITDA","1993-06-18","2026-05-02","Per=Y","Days=T","Dir=V")</f>
        <v>0</v>
      </c>
      <c r="AE2">
        <f>BDH("RNA US Equity","NET_INCOME","1993-06-18","2026-05-02","Per=Y","Days=T","Dir=V")</f>
        <v>0</v>
      </c>
      <c r="AG2">
        <f>BDH("RNA US Equity","IS_INT_EXPENSE","1993-06-18","2026-05-02","Per=Y","Days=T","Dir=V")</f>
        <v>0</v>
      </c>
      <c r="AI2">
        <f>BDH("RNA US Equity","IS_DEPR_EXP","1993-06-18","2026-05-02","Per=Y","Days=T","Dir=V")</f>
        <v>0</v>
      </c>
      <c r="AK2">
        <f>BDH("RNA US Equity","CF_CASH_FROM_OPER","1993-06-18","2026-05-02","Per=Y","Days=T","Dir=V")</f>
        <v>0</v>
      </c>
      <c r="AM2">
        <f>BDH("RNA US Equity","CAPITAL_EXPEND","1993-06-18","2026-05-02","Per=Y","Days=T","Dir=V")</f>
        <v>0</v>
      </c>
      <c r="AO2">
        <f>BDH("RNA US Equity","CF_FREE_CASH_FLOW","1993-06-18","2026-05-02","Per=Y","Days=T","Dir=V")</f>
        <v>0</v>
      </c>
      <c r="AQ2">
        <f>BDH("RNA US Equity","PX_LAST","1993-06-18","2026-05-02","Per=M","Days=T","Dir=V")</f>
        <v>0</v>
      </c>
      <c r="AS2">
        <f>BDH("RNA US Equity","CUR_MKT_CAP","1993-06-18","2026-05-02","Per=M","Days=T","Dir=V")</f>
        <v>0</v>
      </c>
      <c r="AU2">
        <f>BDH("RNA US Equity","EQY_SH_OUT","1993-06-18","2026-05-02","Per=M","Days=T","Dir=V")</f>
        <v>0</v>
      </c>
      <c r="AW2">
        <f>BDH("RNA US Equity","PX_VOLUME","1993-06-18","2026-05-02","Per=M","Days=T","Dir=V")</f>
        <v>0</v>
      </c>
      <c r="AY2">
        <f>BDH("RNA US Equity","TURNOVER","1993-06-18","2026-05-02","Per=M","Days=T","Dir=V")</f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BDH("RNAC US Equity","BS_TOT_ASSET","1993-06-18","2026-05-02","Per=Y","Days=T","Dir=V")</f>
        <v>0</v>
      </c>
      <c r="C2">
        <f>BDH("RNAC US Equity","BS_TOT_LIAB2","1993-06-18","2026-05-02","Per=Y","Days=T","Dir=V")</f>
        <v>0</v>
      </c>
      <c r="E2">
        <f>BDH("RNAC US Equity","SHORT_AND_LONG_TERM_DEBT","1993-06-18","2026-05-02","Per=Y","Days=T","Dir=V")</f>
        <v>0</v>
      </c>
      <c r="G2">
        <f>BDH("RNAC US Equity","BS_ST_BORROW","1993-06-18","2026-05-02","Per=Y","Days=T","Dir=V")</f>
        <v>0</v>
      </c>
      <c r="I2">
        <f>BDH("RNAC US Equity","BS_LT_BORROW","1993-06-18","2026-05-02","Per=Y","Days=T","Dir=V")</f>
        <v>0</v>
      </c>
      <c r="K2">
        <f>BDH("RNAC US Equity","BS_CASH_NEAR_CASH_ITEM","1993-06-18","2026-05-02","Per=Y","Days=T","Dir=V")</f>
        <v>0</v>
      </c>
      <c r="M2">
        <f>BDH("RNAC US Equity","BS_CUR_ASSET_REPORT","1993-06-18","2026-05-02","Per=Y","Days=T","Dir=V")</f>
        <v>0</v>
      </c>
      <c r="O2">
        <f>BDH("RNAC US Equity","BS_CUR_LIAB","1993-06-18","2026-05-02","Per=Y","Days=T","Dir=V")</f>
        <v>0</v>
      </c>
      <c r="Q2">
        <f>BDH("RNAC US Equity","BS_SHAREHOLDER_EQY_ENDING_PERIOD","1993-06-18","2026-05-02","Per=Y","Days=T","Dir=V")</f>
        <v>0</v>
      </c>
      <c r="S2">
        <f>BDH("RNAC US Equity","BS_ACCT_NOTE_RCV","1993-06-18","2026-05-02","Per=Y","Days=T","Dir=V")</f>
        <v>0</v>
      </c>
      <c r="U2">
        <f>BDH("RNAC US Equity","BS_INVENTORIES","1993-06-18","2026-05-02","Per=Y","Days=T","Dir=V")</f>
        <v>0</v>
      </c>
      <c r="W2">
        <f>BDH("RNAC US Equity","WORKING_CAPITAL","1993-06-18","2026-05-02","Per=Y","Days=T","Dir=V")</f>
        <v>0</v>
      </c>
      <c r="Y2">
        <f>BDH("RNAC US Equity","SALES_REV_TURN","1993-06-18","2026-05-02","Per=Y","Days=T","Dir=V")</f>
        <v>0</v>
      </c>
      <c r="AA2">
        <f>BDH("RNAC US Equity","EBIT","1993-06-18","2026-05-02","Per=Y","Days=T","Dir=V")</f>
        <v>0</v>
      </c>
      <c r="AC2">
        <f>BDH("RNAC US Equity","EBITDA","1993-06-18","2026-05-02","Per=Y","Days=T","Dir=V")</f>
        <v>0</v>
      </c>
      <c r="AE2">
        <f>BDH("RNAC US Equity","NET_INCOME","1993-06-18","2026-05-02","Per=Y","Days=T","Dir=V")</f>
        <v>0</v>
      </c>
      <c r="AG2">
        <f>BDH("RNAC US Equity","IS_INT_EXPENSE","1993-06-18","2026-05-02","Per=Y","Days=T","Dir=V")</f>
        <v>0</v>
      </c>
      <c r="AI2">
        <f>BDH("RNAC US Equity","IS_DEPR_EXP","1993-06-18","2026-05-02","Per=Y","Days=T","Dir=V")</f>
        <v>0</v>
      </c>
      <c r="AK2">
        <f>BDH("RNAC US Equity","CF_CASH_FROM_OPER","1993-06-18","2026-05-02","Per=Y","Days=T","Dir=V")</f>
        <v>0</v>
      </c>
      <c r="AM2">
        <f>BDH("RNAC US Equity","CAPITAL_EXPEND","1993-06-18","2026-05-02","Per=Y","Days=T","Dir=V")</f>
        <v>0</v>
      </c>
      <c r="AO2">
        <f>BDH("RNAC US Equity","CF_FREE_CASH_FLOW","1993-06-18","2026-05-02","Per=Y","Days=T","Dir=V")</f>
        <v>0</v>
      </c>
      <c r="AQ2">
        <f>BDH("RNAC US Equity","PX_LAST","1993-06-18","2026-05-02","Per=M","Days=T","Dir=V")</f>
        <v>0</v>
      </c>
      <c r="AS2">
        <f>BDH("RNAC US Equity","CUR_MKT_CAP","1993-06-18","2026-05-02","Per=M","Days=T","Dir=V")</f>
        <v>0</v>
      </c>
      <c r="AU2">
        <f>BDH("RNAC US Equity","EQY_SH_OUT","1993-06-18","2026-05-02","Per=M","Days=T","Dir=V")</f>
        <v>0</v>
      </c>
      <c r="AW2">
        <f>BDH("RNAC US Equity","PX_VOLUME","1993-06-18","2026-05-02","Per=M","Days=T","Dir=V")</f>
        <v>0</v>
      </c>
      <c r="AY2">
        <f>BDH("RNAC US Equity","TURNOVER","1993-06-18","2026-05-02","Per=M","Days=T","Dir=V")</f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BDH("RNAZ US Equity","BS_TOT_ASSET","1993-06-18","2026-05-02","Per=Y","Days=T","Dir=V")</f>
        <v>0</v>
      </c>
      <c r="C2">
        <f>BDH("RNAZ US Equity","BS_TOT_LIAB2","1993-06-18","2026-05-02","Per=Y","Days=T","Dir=V")</f>
        <v>0</v>
      </c>
      <c r="E2">
        <f>BDH("RNAZ US Equity","SHORT_AND_LONG_TERM_DEBT","1993-06-18","2026-05-02","Per=Y","Days=T","Dir=V")</f>
        <v>0</v>
      </c>
      <c r="G2">
        <f>BDH("RNAZ US Equity","BS_ST_BORROW","1993-06-18","2026-05-02","Per=Y","Days=T","Dir=V")</f>
        <v>0</v>
      </c>
      <c r="I2">
        <f>BDH("RNAZ US Equity","BS_LT_BORROW","1993-06-18","2026-05-02","Per=Y","Days=T","Dir=V")</f>
        <v>0</v>
      </c>
      <c r="K2">
        <f>BDH("RNAZ US Equity","BS_CASH_NEAR_CASH_ITEM","1993-06-18","2026-05-02","Per=Y","Days=T","Dir=V")</f>
        <v>0</v>
      </c>
      <c r="M2">
        <f>BDH("RNAZ US Equity","BS_CUR_ASSET_REPORT","1993-06-18","2026-05-02","Per=Y","Days=T","Dir=V")</f>
        <v>0</v>
      </c>
      <c r="O2">
        <f>BDH("RNAZ US Equity","BS_CUR_LIAB","1993-06-18","2026-05-02","Per=Y","Days=T","Dir=V")</f>
        <v>0</v>
      </c>
      <c r="Q2">
        <f>BDH("RNAZ US Equity","BS_SHAREHOLDER_EQY_ENDING_PERIOD","1993-06-18","2026-05-02","Per=Y","Days=T","Dir=V")</f>
        <v>0</v>
      </c>
      <c r="S2">
        <f>BDH("RNAZ US Equity","BS_ACCT_NOTE_RCV","1993-06-18","2026-05-02","Per=Y","Days=T","Dir=V")</f>
        <v>0</v>
      </c>
      <c r="U2">
        <f>BDH("RNAZ US Equity","BS_INVENTORIES","1993-06-18","2026-05-02","Per=Y","Days=T","Dir=V")</f>
        <v>0</v>
      </c>
      <c r="W2">
        <f>BDH("RNAZ US Equity","WORKING_CAPITAL","1993-06-18","2026-05-02","Per=Y","Days=T","Dir=V")</f>
        <v>0</v>
      </c>
      <c r="Y2">
        <f>BDH("RNAZ US Equity","SALES_REV_TURN","1993-06-18","2026-05-02","Per=Y","Days=T","Dir=V")</f>
        <v>0</v>
      </c>
      <c r="AA2">
        <f>BDH("RNAZ US Equity","EBIT","1993-06-18","2026-05-02","Per=Y","Days=T","Dir=V")</f>
        <v>0</v>
      </c>
      <c r="AC2">
        <f>BDH("RNAZ US Equity","EBITDA","1993-06-18","2026-05-02","Per=Y","Days=T","Dir=V")</f>
        <v>0</v>
      </c>
      <c r="AE2">
        <f>BDH("RNAZ US Equity","NET_INCOME","1993-06-18","2026-05-02","Per=Y","Days=T","Dir=V")</f>
        <v>0</v>
      </c>
      <c r="AG2">
        <f>BDH("RNAZ US Equity","IS_INT_EXPENSE","1993-06-18","2026-05-02","Per=Y","Days=T","Dir=V")</f>
        <v>0</v>
      </c>
      <c r="AI2">
        <f>BDH("RNAZ US Equity","IS_DEPR_EXP","1993-06-18","2026-05-02","Per=Y","Days=T","Dir=V")</f>
        <v>0</v>
      </c>
      <c r="AK2">
        <f>BDH("RNAZ US Equity","CF_CASH_FROM_OPER","1993-06-18","2026-05-02","Per=Y","Days=T","Dir=V")</f>
        <v>0</v>
      </c>
      <c r="AM2">
        <f>BDH("RNAZ US Equity","CAPITAL_EXPEND","1993-06-18","2026-05-02","Per=Y","Days=T","Dir=V")</f>
        <v>0</v>
      </c>
      <c r="AO2">
        <f>BDH("RNAZ US Equity","CF_FREE_CASH_FLOW","1993-06-18","2026-05-02","Per=Y","Days=T","Dir=V")</f>
        <v>0</v>
      </c>
      <c r="AQ2">
        <f>BDH("RNAZ US Equity","PX_LAST","1993-06-18","2026-05-02","Per=M","Days=T","Dir=V")</f>
        <v>0</v>
      </c>
      <c r="AS2">
        <f>BDH("RNAZ US Equity","CUR_MKT_CAP","1993-06-18","2026-05-02","Per=M","Days=T","Dir=V")</f>
        <v>0</v>
      </c>
      <c r="AU2">
        <f>BDH("RNAZ US Equity","EQY_SH_OUT","1993-06-18","2026-05-02","Per=M","Days=T","Dir=V")</f>
        <v>0</v>
      </c>
      <c r="AW2">
        <f>BDH("RNAZ US Equity","PX_VOLUME","1993-06-18","2026-05-02","Per=M","Days=T","Dir=V")</f>
        <v>0</v>
      </c>
      <c r="AY2">
        <f>BDH("RNAZ US Equity","TURNOVER","1993-06-18","2026-05-02","Per=M","Days=T","Dir=V")</f>
        <v>0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BDH("RNG US Equity","BS_TOT_ASSET","1993-06-18","2026-05-02","Per=Y","Days=T","Dir=V")</f>
        <v>0</v>
      </c>
      <c r="C2">
        <f>BDH("RNG US Equity","BS_TOT_LIAB2","1993-06-18","2026-05-02","Per=Y","Days=T","Dir=V")</f>
        <v>0</v>
      </c>
      <c r="E2">
        <f>BDH("RNG US Equity","SHORT_AND_LONG_TERM_DEBT","1993-06-18","2026-05-02","Per=Y","Days=T","Dir=V")</f>
        <v>0</v>
      </c>
      <c r="G2">
        <f>BDH("RNG US Equity","BS_ST_BORROW","1993-06-18","2026-05-02","Per=Y","Days=T","Dir=V")</f>
        <v>0</v>
      </c>
      <c r="I2">
        <f>BDH("RNG US Equity","BS_LT_BORROW","1993-06-18","2026-05-02","Per=Y","Days=T","Dir=V")</f>
        <v>0</v>
      </c>
      <c r="K2">
        <f>BDH("RNG US Equity","BS_CASH_NEAR_CASH_ITEM","1993-06-18","2026-05-02","Per=Y","Days=T","Dir=V")</f>
        <v>0</v>
      </c>
      <c r="M2">
        <f>BDH("RNG US Equity","BS_CUR_ASSET_REPORT","1993-06-18","2026-05-02","Per=Y","Days=T","Dir=V")</f>
        <v>0</v>
      </c>
      <c r="O2">
        <f>BDH("RNG US Equity","BS_CUR_LIAB","1993-06-18","2026-05-02","Per=Y","Days=T","Dir=V")</f>
        <v>0</v>
      </c>
      <c r="Q2">
        <f>BDH("RNG US Equity","BS_SHAREHOLDER_EQY_ENDING_PERIOD","1993-06-18","2026-05-02","Per=Y","Days=T","Dir=V")</f>
        <v>0</v>
      </c>
      <c r="S2">
        <f>BDH("RNG US Equity","BS_ACCT_NOTE_RCV","1993-06-18","2026-05-02","Per=Y","Days=T","Dir=V")</f>
        <v>0</v>
      </c>
      <c r="U2">
        <f>BDH("RNG US Equity","BS_INVENTORIES","1993-06-18","2026-05-02","Per=Y","Days=T","Dir=V")</f>
        <v>0</v>
      </c>
      <c r="W2">
        <f>BDH("RNG US Equity","WORKING_CAPITAL","1993-06-18","2026-05-02","Per=Y","Days=T","Dir=V")</f>
        <v>0</v>
      </c>
      <c r="Y2">
        <f>BDH("RNG US Equity","SALES_REV_TURN","1993-06-18","2026-05-02","Per=Y","Days=T","Dir=V")</f>
        <v>0</v>
      </c>
      <c r="AA2">
        <f>BDH("RNG US Equity","EBIT","1993-06-18","2026-05-02","Per=Y","Days=T","Dir=V")</f>
        <v>0</v>
      </c>
      <c r="AC2">
        <f>BDH("RNG US Equity","EBITDA","1993-06-18","2026-05-02","Per=Y","Days=T","Dir=V")</f>
        <v>0</v>
      </c>
      <c r="AE2">
        <f>BDH("RNG US Equity","NET_INCOME","1993-06-18","2026-05-02","Per=Y","Days=T","Dir=V")</f>
        <v>0</v>
      </c>
      <c r="AG2">
        <f>BDH("RNG US Equity","IS_INT_EXPENSE","1993-06-18","2026-05-02","Per=Y","Days=T","Dir=V")</f>
        <v>0</v>
      </c>
      <c r="AI2">
        <f>BDH("RNG US Equity","IS_DEPR_EXP","1993-06-18","2026-05-02","Per=Y","Days=T","Dir=V")</f>
        <v>0</v>
      </c>
      <c r="AK2">
        <f>BDH("RNG US Equity","CF_CASH_FROM_OPER","1993-06-18","2026-05-02","Per=Y","Days=T","Dir=V")</f>
        <v>0</v>
      </c>
      <c r="AM2">
        <f>BDH("RNG US Equity","CAPITAL_EXPEND","1993-06-18","2026-05-02","Per=Y","Days=T","Dir=V")</f>
        <v>0</v>
      </c>
      <c r="AO2">
        <f>BDH("RNG US Equity","CF_FREE_CASH_FLOW","1993-06-18","2026-05-02","Per=Y","Days=T","Dir=V")</f>
        <v>0</v>
      </c>
      <c r="AQ2">
        <f>BDH("RNG US Equity","PX_LAST","1993-06-18","2026-05-02","Per=M","Days=T","Dir=V")</f>
        <v>0</v>
      </c>
      <c r="AS2">
        <f>BDH("RNG US Equity","CUR_MKT_CAP","1993-06-18","2026-05-02","Per=M","Days=T","Dir=V")</f>
        <v>0</v>
      </c>
      <c r="AU2">
        <f>BDH("RNG US Equity","EQY_SH_OUT","1993-06-18","2026-05-02","Per=M","Days=T","Dir=V")</f>
        <v>0</v>
      </c>
      <c r="AW2">
        <f>BDH("RNG US Equity","PX_VOLUME","1993-06-18","2026-05-02","Per=M","Days=T","Dir=V")</f>
        <v>0</v>
      </c>
      <c r="AY2">
        <f>BDH("RNG US Equity","TURNOVER","1993-06-18","2026-05-02","Per=M","Days=T","Dir=V")</f>
        <v>0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BDH("RNGR US Equity","BS_TOT_ASSET","1993-06-18","2026-05-02","Per=Y","Days=T","Dir=V")</f>
        <v>0</v>
      </c>
      <c r="C2">
        <f>BDH("RNGR US Equity","BS_TOT_LIAB2","1993-06-18","2026-05-02","Per=Y","Days=T","Dir=V")</f>
        <v>0</v>
      </c>
      <c r="E2">
        <f>BDH("RNGR US Equity","SHORT_AND_LONG_TERM_DEBT","1993-06-18","2026-05-02","Per=Y","Days=T","Dir=V")</f>
        <v>0</v>
      </c>
      <c r="G2">
        <f>BDH("RNGR US Equity","BS_ST_BORROW","1993-06-18","2026-05-02","Per=Y","Days=T","Dir=V")</f>
        <v>0</v>
      </c>
      <c r="I2">
        <f>BDH("RNGR US Equity","BS_LT_BORROW","1993-06-18","2026-05-02","Per=Y","Days=T","Dir=V")</f>
        <v>0</v>
      </c>
      <c r="K2">
        <f>BDH("RNGR US Equity","BS_CASH_NEAR_CASH_ITEM","1993-06-18","2026-05-02","Per=Y","Days=T","Dir=V")</f>
        <v>0</v>
      </c>
      <c r="M2">
        <f>BDH("RNGR US Equity","BS_CUR_ASSET_REPORT","1993-06-18","2026-05-02","Per=Y","Days=T","Dir=V")</f>
        <v>0</v>
      </c>
      <c r="O2">
        <f>BDH("RNGR US Equity","BS_CUR_LIAB","1993-06-18","2026-05-02","Per=Y","Days=T","Dir=V")</f>
        <v>0</v>
      </c>
      <c r="Q2">
        <f>BDH("RNGR US Equity","BS_SHAREHOLDER_EQY_ENDING_PERIOD","1993-06-18","2026-05-02","Per=Y","Days=T","Dir=V")</f>
        <v>0</v>
      </c>
      <c r="S2">
        <f>BDH("RNGR US Equity","BS_ACCT_NOTE_RCV","1993-06-18","2026-05-02","Per=Y","Days=T","Dir=V")</f>
        <v>0</v>
      </c>
      <c r="U2">
        <f>BDH("RNGR US Equity","BS_INVENTORIES","1993-06-18","2026-05-02","Per=Y","Days=T","Dir=V")</f>
        <v>0</v>
      </c>
      <c r="W2">
        <f>BDH("RNGR US Equity","WORKING_CAPITAL","1993-06-18","2026-05-02","Per=Y","Days=T","Dir=V")</f>
        <v>0</v>
      </c>
      <c r="Y2">
        <f>BDH("RNGR US Equity","SALES_REV_TURN","1993-06-18","2026-05-02","Per=Y","Days=T","Dir=V")</f>
        <v>0</v>
      </c>
      <c r="AA2">
        <f>BDH("RNGR US Equity","EBIT","1993-06-18","2026-05-02","Per=Y","Days=T","Dir=V")</f>
        <v>0</v>
      </c>
      <c r="AC2">
        <f>BDH("RNGR US Equity","EBITDA","1993-06-18","2026-05-02","Per=Y","Days=T","Dir=V")</f>
        <v>0</v>
      </c>
      <c r="AE2">
        <f>BDH("RNGR US Equity","NET_INCOME","1993-06-18","2026-05-02","Per=Y","Days=T","Dir=V")</f>
        <v>0</v>
      </c>
      <c r="AG2">
        <f>BDH("RNGR US Equity","IS_INT_EXPENSE","1993-06-18","2026-05-02","Per=Y","Days=T","Dir=V")</f>
        <v>0</v>
      </c>
      <c r="AI2">
        <f>BDH("RNGR US Equity","IS_DEPR_EXP","1993-06-18","2026-05-02","Per=Y","Days=T","Dir=V")</f>
        <v>0</v>
      </c>
      <c r="AK2">
        <f>BDH("RNGR US Equity","CF_CASH_FROM_OPER","1993-06-18","2026-05-02","Per=Y","Days=T","Dir=V")</f>
        <v>0</v>
      </c>
      <c r="AM2">
        <f>BDH("RNGR US Equity","CAPITAL_EXPEND","1993-06-18","2026-05-02","Per=Y","Days=T","Dir=V")</f>
        <v>0</v>
      </c>
      <c r="AO2">
        <f>BDH("RNGR US Equity","CF_FREE_CASH_FLOW","1993-06-18","2026-05-02","Per=Y","Days=T","Dir=V")</f>
        <v>0</v>
      </c>
      <c r="AQ2">
        <f>BDH("RNGR US Equity","PX_LAST","1993-06-18","2026-05-02","Per=M","Days=T","Dir=V")</f>
        <v>0</v>
      </c>
      <c r="AS2">
        <f>BDH("RNGR US Equity","CUR_MKT_CAP","1993-06-18","2026-05-02","Per=M","Days=T","Dir=V")</f>
        <v>0</v>
      </c>
      <c r="AU2">
        <f>BDH("RNGR US Equity","EQY_SH_OUT","1993-06-18","2026-05-02","Per=M","Days=T","Dir=V")</f>
        <v>0</v>
      </c>
      <c r="AW2">
        <f>BDH("RNGR US Equity","PX_VOLUME","1993-06-18","2026-05-02","Per=M","Days=T","Dir=V")</f>
        <v>0</v>
      </c>
      <c r="AY2">
        <f>BDH("RNGR US Equity","TURNOVER","1993-06-18","2026-05-02","Per=M","Days=T","Dir=V")</f>
        <v>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BDH("RNTX US Equity","BS_TOT_ASSET","1993-06-18","2026-05-02","Per=Y","Days=T","Dir=V")</f>
        <v>0</v>
      </c>
      <c r="C2">
        <f>BDH("RNTX US Equity","BS_TOT_LIAB2","1993-06-18","2026-05-02","Per=Y","Days=T","Dir=V")</f>
        <v>0</v>
      </c>
      <c r="E2">
        <f>BDH("RNTX US Equity","SHORT_AND_LONG_TERM_DEBT","1993-06-18","2026-05-02","Per=Y","Days=T","Dir=V")</f>
        <v>0</v>
      </c>
      <c r="G2">
        <f>BDH("RNTX US Equity","BS_ST_BORROW","1993-06-18","2026-05-02","Per=Y","Days=T","Dir=V")</f>
        <v>0</v>
      </c>
      <c r="I2">
        <f>BDH("RNTX US Equity","BS_LT_BORROW","1993-06-18","2026-05-02","Per=Y","Days=T","Dir=V")</f>
        <v>0</v>
      </c>
      <c r="K2">
        <f>BDH("RNTX US Equity","BS_CASH_NEAR_CASH_ITEM","1993-06-18","2026-05-02","Per=Y","Days=T","Dir=V")</f>
        <v>0</v>
      </c>
      <c r="M2">
        <f>BDH("RNTX US Equity","BS_CUR_ASSET_REPORT","1993-06-18","2026-05-02","Per=Y","Days=T","Dir=V")</f>
        <v>0</v>
      </c>
      <c r="O2">
        <f>BDH("RNTX US Equity","BS_CUR_LIAB","1993-06-18","2026-05-02","Per=Y","Days=T","Dir=V")</f>
        <v>0</v>
      </c>
      <c r="Q2">
        <f>BDH("RNTX US Equity","BS_SHAREHOLDER_EQY_ENDING_PERIOD","1993-06-18","2026-05-02","Per=Y","Days=T","Dir=V")</f>
        <v>0</v>
      </c>
      <c r="S2">
        <f>BDH("RNTX US Equity","BS_ACCT_NOTE_RCV","1993-06-18","2026-05-02","Per=Y","Days=T","Dir=V")</f>
        <v>0</v>
      </c>
      <c r="U2">
        <f>BDH("RNTX US Equity","BS_INVENTORIES","1993-06-18","2026-05-02","Per=Y","Days=T","Dir=V")</f>
        <v>0</v>
      </c>
      <c r="W2">
        <f>BDH("RNTX US Equity","WORKING_CAPITAL","1993-06-18","2026-05-02","Per=Y","Days=T","Dir=V")</f>
        <v>0</v>
      </c>
      <c r="Y2">
        <f>BDH("RNTX US Equity","SALES_REV_TURN","1993-06-18","2026-05-02","Per=Y","Days=T","Dir=V")</f>
        <v>0</v>
      </c>
      <c r="AA2">
        <f>BDH("RNTX US Equity","EBIT","1993-06-18","2026-05-02","Per=Y","Days=T","Dir=V")</f>
        <v>0</v>
      </c>
      <c r="AC2">
        <f>BDH("RNTX US Equity","EBITDA","1993-06-18","2026-05-02","Per=Y","Days=T","Dir=V")</f>
        <v>0</v>
      </c>
      <c r="AE2">
        <f>BDH("RNTX US Equity","NET_INCOME","1993-06-18","2026-05-02","Per=Y","Days=T","Dir=V")</f>
        <v>0</v>
      </c>
      <c r="AG2">
        <f>BDH("RNTX US Equity","IS_INT_EXPENSE","1993-06-18","2026-05-02","Per=Y","Days=T","Dir=V")</f>
        <v>0</v>
      </c>
      <c r="AI2">
        <f>BDH("RNTX US Equity","IS_DEPR_EXP","1993-06-18","2026-05-02","Per=Y","Days=T","Dir=V")</f>
        <v>0</v>
      </c>
      <c r="AK2">
        <f>BDH("RNTX US Equity","CF_CASH_FROM_OPER","1993-06-18","2026-05-02","Per=Y","Days=T","Dir=V")</f>
        <v>0</v>
      </c>
      <c r="AM2">
        <f>BDH("RNTX US Equity","CAPITAL_EXPEND","1993-06-18","2026-05-02","Per=Y","Days=T","Dir=V")</f>
        <v>0</v>
      </c>
      <c r="AO2">
        <f>BDH("RNTX US Equity","CF_FREE_CASH_FLOW","1993-06-18","2026-05-02","Per=Y","Days=T","Dir=V")</f>
        <v>0</v>
      </c>
      <c r="AQ2">
        <f>BDH("RNTX US Equity","PX_LAST","1993-06-18","2026-05-02","Per=M","Days=T","Dir=V")</f>
        <v>0</v>
      </c>
      <c r="AS2">
        <f>BDH("RNTX US Equity","CUR_MKT_CAP","1993-06-18","2026-05-02","Per=M","Days=T","Dir=V")</f>
        <v>0</v>
      </c>
      <c r="AU2">
        <f>BDH("RNTX US Equity","EQY_SH_OUT","1993-06-18","2026-05-02","Per=M","Days=T","Dir=V")</f>
        <v>0</v>
      </c>
      <c r="AW2">
        <f>BDH("RNTX US Equity","PX_VOLUME","1993-06-18","2026-05-02","Per=M","Days=T","Dir=V")</f>
        <v>0</v>
      </c>
      <c r="AY2">
        <f>BDH("RNTX US Equity","TURNOVER","1993-06-18","2026-05-02","Per=M","Days=T","Dir=V")</f>
        <v>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BDH("RNXT US Equity","BS_TOT_ASSET","1993-06-18","2026-05-02","Per=Y","Days=T","Dir=V")</f>
        <v>0</v>
      </c>
      <c r="C2">
        <f>BDH("RNXT US Equity","BS_TOT_LIAB2","1993-06-18","2026-05-02","Per=Y","Days=T","Dir=V")</f>
        <v>0</v>
      </c>
      <c r="E2">
        <f>BDH("RNXT US Equity","SHORT_AND_LONG_TERM_DEBT","1993-06-18","2026-05-02","Per=Y","Days=T","Dir=V")</f>
        <v>0</v>
      </c>
      <c r="G2">
        <f>BDH("RNXT US Equity","BS_ST_BORROW","1993-06-18","2026-05-02","Per=Y","Days=T","Dir=V")</f>
        <v>0</v>
      </c>
      <c r="I2">
        <f>BDH("RNXT US Equity","BS_LT_BORROW","1993-06-18","2026-05-02","Per=Y","Days=T","Dir=V")</f>
        <v>0</v>
      </c>
      <c r="K2">
        <f>BDH("RNXT US Equity","BS_CASH_NEAR_CASH_ITEM","1993-06-18","2026-05-02","Per=Y","Days=T","Dir=V")</f>
        <v>0</v>
      </c>
      <c r="M2">
        <f>BDH("RNXT US Equity","BS_CUR_ASSET_REPORT","1993-06-18","2026-05-02","Per=Y","Days=T","Dir=V")</f>
        <v>0</v>
      </c>
      <c r="O2">
        <f>BDH("RNXT US Equity","BS_CUR_LIAB","1993-06-18","2026-05-02","Per=Y","Days=T","Dir=V")</f>
        <v>0</v>
      </c>
      <c r="Q2">
        <f>BDH("RNXT US Equity","BS_SHAREHOLDER_EQY_ENDING_PERIOD","1993-06-18","2026-05-02","Per=Y","Days=T","Dir=V")</f>
        <v>0</v>
      </c>
      <c r="S2">
        <f>BDH("RNXT US Equity","BS_ACCT_NOTE_RCV","1993-06-18","2026-05-02","Per=Y","Days=T","Dir=V")</f>
        <v>0</v>
      </c>
      <c r="U2">
        <f>BDH("RNXT US Equity","BS_INVENTORIES","1993-06-18","2026-05-02","Per=Y","Days=T","Dir=V")</f>
        <v>0</v>
      </c>
      <c r="W2">
        <f>BDH("RNXT US Equity","WORKING_CAPITAL","1993-06-18","2026-05-02","Per=Y","Days=T","Dir=V")</f>
        <v>0</v>
      </c>
      <c r="Y2">
        <f>BDH("RNXT US Equity","SALES_REV_TURN","1993-06-18","2026-05-02","Per=Y","Days=T","Dir=V")</f>
        <v>0</v>
      </c>
      <c r="AA2">
        <f>BDH("RNXT US Equity","EBIT","1993-06-18","2026-05-02","Per=Y","Days=T","Dir=V")</f>
        <v>0</v>
      </c>
      <c r="AC2">
        <f>BDH("RNXT US Equity","EBITDA","1993-06-18","2026-05-02","Per=Y","Days=T","Dir=V")</f>
        <v>0</v>
      </c>
      <c r="AE2">
        <f>BDH("RNXT US Equity","NET_INCOME","1993-06-18","2026-05-02","Per=Y","Days=T","Dir=V")</f>
        <v>0</v>
      </c>
      <c r="AG2">
        <f>BDH("RNXT US Equity","IS_INT_EXPENSE","1993-06-18","2026-05-02","Per=Y","Days=T","Dir=V")</f>
        <v>0</v>
      </c>
      <c r="AI2">
        <f>BDH("RNXT US Equity","IS_DEPR_EXP","1993-06-18","2026-05-02","Per=Y","Days=T","Dir=V")</f>
        <v>0</v>
      </c>
      <c r="AK2">
        <f>BDH("RNXT US Equity","CF_CASH_FROM_OPER","1993-06-18","2026-05-02","Per=Y","Days=T","Dir=V")</f>
        <v>0</v>
      </c>
      <c r="AM2">
        <f>BDH("RNXT US Equity","CAPITAL_EXPEND","1993-06-18","2026-05-02","Per=Y","Days=T","Dir=V")</f>
        <v>0</v>
      </c>
      <c r="AO2">
        <f>BDH("RNXT US Equity","CF_FREE_CASH_FLOW","1993-06-18","2026-05-02","Per=Y","Days=T","Dir=V")</f>
        <v>0</v>
      </c>
      <c r="AQ2">
        <f>BDH("RNXT US Equity","PX_LAST","1993-06-18","2026-05-02","Per=M","Days=T","Dir=V")</f>
        <v>0</v>
      </c>
      <c r="AS2">
        <f>BDH("RNXT US Equity","CUR_MKT_CAP","1993-06-18","2026-05-02","Per=M","Days=T","Dir=V")</f>
        <v>0</v>
      </c>
      <c r="AU2">
        <f>BDH("RNXT US Equity","EQY_SH_OUT","1993-06-18","2026-05-02","Per=M","Days=T","Dir=V")</f>
        <v>0</v>
      </c>
      <c r="AW2">
        <f>BDH("RNXT US Equity","PX_VOLUME","1993-06-18","2026-05-02","Per=M","Days=T","Dir=V")</f>
        <v>0</v>
      </c>
      <c r="AY2">
        <f>BDH("RNXT US Equity","TURNOVER","1993-06-18","2026-05-02","Per=M","Days=T","Dir=V")</f>
        <v>0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BDH("ROAD US Equity","BS_TOT_ASSET","1993-06-18","2026-05-02","Per=Y","Days=T","Dir=V")</f>
        <v>0</v>
      </c>
      <c r="C2">
        <f>BDH("ROAD US Equity","BS_TOT_LIAB2","1993-06-18","2026-05-02","Per=Y","Days=T","Dir=V")</f>
        <v>0</v>
      </c>
      <c r="E2">
        <f>BDH("ROAD US Equity","SHORT_AND_LONG_TERM_DEBT","1993-06-18","2026-05-02","Per=Y","Days=T","Dir=V")</f>
        <v>0</v>
      </c>
      <c r="G2">
        <f>BDH("ROAD US Equity","BS_ST_BORROW","1993-06-18","2026-05-02","Per=Y","Days=T","Dir=V")</f>
        <v>0</v>
      </c>
      <c r="I2">
        <f>BDH("ROAD US Equity","BS_LT_BORROW","1993-06-18","2026-05-02","Per=Y","Days=T","Dir=V")</f>
        <v>0</v>
      </c>
      <c r="K2">
        <f>BDH("ROAD US Equity","BS_CASH_NEAR_CASH_ITEM","1993-06-18","2026-05-02","Per=Y","Days=T","Dir=V")</f>
        <v>0</v>
      </c>
      <c r="M2">
        <f>BDH("ROAD US Equity","BS_CUR_ASSET_REPORT","1993-06-18","2026-05-02","Per=Y","Days=T","Dir=V")</f>
        <v>0</v>
      </c>
      <c r="O2">
        <f>BDH("ROAD US Equity","BS_CUR_LIAB","1993-06-18","2026-05-02","Per=Y","Days=T","Dir=V")</f>
        <v>0</v>
      </c>
      <c r="Q2">
        <f>BDH("ROAD US Equity","BS_SHAREHOLDER_EQY_ENDING_PERIOD","1993-06-18","2026-05-02","Per=Y","Days=T","Dir=V")</f>
        <v>0</v>
      </c>
      <c r="S2">
        <f>BDH("ROAD US Equity","BS_ACCT_NOTE_RCV","1993-06-18","2026-05-02","Per=Y","Days=T","Dir=V")</f>
        <v>0</v>
      </c>
      <c r="U2">
        <f>BDH("ROAD US Equity","BS_INVENTORIES","1993-06-18","2026-05-02","Per=Y","Days=T","Dir=V")</f>
        <v>0</v>
      </c>
      <c r="W2">
        <f>BDH("ROAD US Equity","WORKING_CAPITAL","1993-06-18","2026-05-02","Per=Y","Days=T","Dir=V")</f>
        <v>0</v>
      </c>
      <c r="Y2">
        <f>BDH("ROAD US Equity","SALES_REV_TURN","1993-06-18","2026-05-02","Per=Y","Days=T","Dir=V")</f>
        <v>0</v>
      </c>
      <c r="AA2">
        <f>BDH("ROAD US Equity","EBIT","1993-06-18","2026-05-02","Per=Y","Days=T","Dir=V")</f>
        <v>0</v>
      </c>
      <c r="AC2">
        <f>BDH("ROAD US Equity","EBITDA","1993-06-18","2026-05-02","Per=Y","Days=T","Dir=V")</f>
        <v>0</v>
      </c>
      <c r="AE2">
        <f>BDH("ROAD US Equity","NET_INCOME","1993-06-18","2026-05-02","Per=Y","Days=T","Dir=V")</f>
        <v>0</v>
      </c>
      <c r="AG2">
        <f>BDH("ROAD US Equity","IS_INT_EXPENSE","1993-06-18","2026-05-02","Per=Y","Days=T","Dir=V")</f>
        <v>0</v>
      </c>
      <c r="AI2">
        <f>BDH("ROAD US Equity","IS_DEPR_EXP","1993-06-18","2026-05-02","Per=Y","Days=T","Dir=V")</f>
        <v>0</v>
      </c>
      <c r="AK2">
        <f>BDH("ROAD US Equity","CF_CASH_FROM_OPER","1993-06-18","2026-05-02","Per=Y","Days=T","Dir=V")</f>
        <v>0</v>
      </c>
      <c r="AM2">
        <f>BDH("ROAD US Equity","CAPITAL_EXPEND","1993-06-18","2026-05-02","Per=Y","Days=T","Dir=V")</f>
        <v>0</v>
      </c>
      <c r="AO2">
        <f>BDH("ROAD US Equity","CF_FREE_CASH_FLOW","1993-06-18","2026-05-02","Per=Y","Days=T","Dir=V")</f>
        <v>0</v>
      </c>
      <c r="AQ2">
        <f>BDH("ROAD US Equity","PX_LAST","1993-06-18","2026-05-02","Per=M","Days=T","Dir=V")</f>
        <v>0</v>
      </c>
      <c r="AS2">
        <f>BDH("ROAD US Equity","CUR_MKT_CAP","1993-06-18","2026-05-02","Per=M","Days=T","Dir=V")</f>
        <v>0</v>
      </c>
      <c r="AU2">
        <f>BDH("ROAD US Equity","EQY_SH_OUT","1993-06-18","2026-05-02","Per=M","Days=T","Dir=V")</f>
        <v>0</v>
      </c>
      <c r="AW2">
        <f>BDH("ROAD US Equity","PX_VOLUME","1993-06-18","2026-05-02","Per=M","Days=T","Dir=V")</f>
        <v>0</v>
      </c>
      <c r="AY2">
        <f>BDH("ROAD US Equity","TURNOVER","1993-06-18","2026-05-02","Per=M","Days=T","Dir=V")</f>
        <v>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BDH("ROC US Equity","BS_TOT_ASSET","1993-06-18","2026-05-02","Per=Y","Days=T","Dir=V")</f>
        <v>0</v>
      </c>
      <c r="C2">
        <f>BDH("ROC US Equity","BS_TOT_LIAB2","1993-06-18","2026-05-02","Per=Y","Days=T","Dir=V")</f>
        <v>0</v>
      </c>
      <c r="E2">
        <f>BDH("ROC US Equity","SHORT_AND_LONG_TERM_DEBT","1993-06-18","2026-05-02","Per=Y","Days=T","Dir=V")</f>
        <v>0</v>
      </c>
      <c r="G2">
        <f>BDH("ROC US Equity","BS_ST_BORROW","1993-06-18","2026-05-02","Per=Y","Days=T","Dir=V")</f>
        <v>0</v>
      </c>
      <c r="I2">
        <f>BDH("ROC US Equity","BS_LT_BORROW","1993-06-18","2026-05-02","Per=Y","Days=T","Dir=V")</f>
        <v>0</v>
      </c>
      <c r="K2">
        <f>BDH("ROC US Equity","BS_CASH_NEAR_CASH_ITEM","1993-06-18","2026-05-02","Per=Y","Days=T","Dir=V")</f>
        <v>0</v>
      </c>
      <c r="M2">
        <f>BDH("ROC US Equity","BS_CUR_ASSET_REPORT","1993-06-18","2026-05-02","Per=Y","Days=T","Dir=V")</f>
        <v>0</v>
      </c>
      <c r="O2">
        <f>BDH("ROC US Equity","BS_CUR_LIAB","1993-06-18","2026-05-02","Per=Y","Days=T","Dir=V")</f>
        <v>0</v>
      </c>
      <c r="Q2">
        <f>BDH("ROC US Equity","BS_SHAREHOLDER_EQY_ENDING_PERIOD","1993-06-18","2026-05-02","Per=Y","Days=T","Dir=V")</f>
        <v>0</v>
      </c>
      <c r="S2">
        <f>BDH("ROC US Equity","BS_ACCT_NOTE_RCV","1993-06-18","2026-05-02","Per=Y","Days=T","Dir=V")</f>
        <v>0</v>
      </c>
      <c r="U2">
        <f>BDH("ROC US Equity","BS_INVENTORIES","1993-06-18","2026-05-02","Per=Y","Days=T","Dir=V")</f>
        <v>0</v>
      </c>
      <c r="W2">
        <f>BDH("ROC US Equity","WORKING_CAPITAL","1993-06-18","2026-05-02","Per=Y","Days=T","Dir=V")</f>
        <v>0</v>
      </c>
      <c r="Y2">
        <f>BDH("ROC US Equity","SALES_REV_TURN","1993-06-18","2026-05-02","Per=Y","Days=T","Dir=V")</f>
        <v>0</v>
      </c>
      <c r="AA2">
        <f>BDH("ROC US Equity","EBIT","1993-06-18","2026-05-02","Per=Y","Days=T","Dir=V")</f>
        <v>0</v>
      </c>
      <c r="AC2">
        <f>BDH("ROC US Equity","EBITDA","1993-06-18","2026-05-02","Per=Y","Days=T","Dir=V")</f>
        <v>0</v>
      </c>
      <c r="AE2">
        <f>BDH("ROC US Equity","NET_INCOME","1993-06-18","2026-05-02","Per=Y","Days=T","Dir=V")</f>
        <v>0</v>
      </c>
      <c r="AG2">
        <f>BDH("ROC US Equity","IS_INT_EXPENSE","1993-06-18","2026-05-02","Per=Y","Days=T","Dir=V")</f>
        <v>0</v>
      </c>
      <c r="AI2">
        <f>BDH("ROC US Equity","IS_DEPR_EXP","1993-06-18","2026-05-02","Per=Y","Days=T","Dir=V")</f>
        <v>0</v>
      </c>
      <c r="AK2">
        <f>BDH("ROC US Equity","CF_CASH_FROM_OPER","1993-06-18","2026-05-02","Per=Y","Days=T","Dir=V")</f>
        <v>0</v>
      </c>
      <c r="AM2">
        <f>BDH("ROC US Equity","CAPITAL_EXPEND","1993-06-18","2026-05-02","Per=Y","Days=T","Dir=V")</f>
        <v>0</v>
      </c>
      <c r="AO2">
        <f>BDH("ROC US Equity","CF_FREE_CASH_FLOW","1993-06-18","2026-05-02","Per=Y","Days=T","Dir=V")</f>
        <v>0</v>
      </c>
      <c r="AQ2">
        <f>BDH("ROC US Equity","PX_LAST","1993-06-18","2026-05-02","Per=M","Days=T","Dir=V")</f>
        <v>0</v>
      </c>
      <c r="AS2">
        <f>BDH("ROC US Equity","CUR_MKT_CAP","1993-06-18","2026-05-02","Per=M","Days=T","Dir=V")</f>
        <v>0</v>
      </c>
      <c r="AU2">
        <f>BDH("ROC US Equity","EQY_SH_OUT","1993-06-18","2026-05-02","Per=M","Days=T","Dir=V")</f>
        <v>0</v>
      </c>
      <c r="AW2">
        <f>BDH("ROC US Equity","PX_VOLUME","1993-06-18","2026-05-02","Per=M","Days=T","Dir=V")</f>
        <v>0</v>
      </c>
      <c r="AY2">
        <f>BDH("ROC US Equity","TURNOVER","1993-06-18","2026-05-02","Per=M","Days=T","Dir=V")</f>
        <v>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BDH("ROCK US Equity","BS_TOT_ASSET","1993-06-18","2026-05-02","Per=Y","Days=T","Dir=V")</f>
        <v>0</v>
      </c>
      <c r="C2">
        <f>BDH("ROCK US Equity","BS_TOT_LIAB2","1993-06-18","2026-05-02","Per=Y","Days=T","Dir=V")</f>
        <v>0</v>
      </c>
      <c r="E2">
        <f>BDH("ROCK US Equity","SHORT_AND_LONG_TERM_DEBT","1993-06-18","2026-05-02","Per=Y","Days=T","Dir=V")</f>
        <v>0</v>
      </c>
      <c r="G2">
        <f>BDH("ROCK US Equity","BS_ST_BORROW","1993-06-18","2026-05-02","Per=Y","Days=T","Dir=V")</f>
        <v>0</v>
      </c>
      <c r="I2">
        <f>BDH("ROCK US Equity","BS_LT_BORROW","1993-06-18","2026-05-02","Per=Y","Days=T","Dir=V")</f>
        <v>0</v>
      </c>
      <c r="K2">
        <f>BDH("ROCK US Equity","BS_CASH_NEAR_CASH_ITEM","1993-06-18","2026-05-02","Per=Y","Days=T","Dir=V")</f>
        <v>0</v>
      </c>
      <c r="M2">
        <f>BDH("ROCK US Equity","BS_CUR_ASSET_REPORT","1993-06-18","2026-05-02","Per=Y","Days=T","Dir=V")</f>
        <v>0</v>
      </c>
      <c r="O2">
        <f>BDH("ROCK US Equity","BS_CUR_LIAB","1993-06-18","2026-05-02","Per=Y","Days=T","Dir=V")</f>
        <v>0</v>
      </c>
      <c r="Q2">
        <f>BDH("ROCK US Equity","BS_SHAREHOLDER_EQY_ENDING_PERIOD","1993-06-18","2026-05-02","Per=Y","Days=T","Dir=V")</f>
        <v>0</v>
      </c>
      <c r="S2">
        <f>BDH("ROCK US Equity","BS_ACCT_NOTE_RCV","1993-06-18","2026-05-02","Per=Y","Days=T","Dir=V")</f>
        <v>0</v>
      </c>
      <c r="U2">
        <f>BDH("ROCK US Equity","BS_INVENTORIES","1993-06-18","2026-05-02","Per=Y","Days=T","Dir=V")</f>
        <v>0</v>
      </c>
      <c r="W2">
        <f>BDH("ROCK US Equity","WORKING_CAPITAL","1993-06-18","2026-05-02","Per=Y","Days=T","Dir=V")</f>
        <v>0</v>
      </c>
      <c r="Y2">
        <f>BDH("ROCK US Equity","SALES_REV_TURN","1993-06-18","2026-05-02","Per=Y","Days=T","Dir=V")</f>
        <v>0</v>
      </c>
      <c r="AA2">
        <f>BDH("ROCK US Equity","EBIT","1993-06-18","2026-05-02","Per=Y","Days=T","Dir=V")</f>
        <v>0</v>
      </c>
      <c r="AC2">
        <f>BDH("ROCK US Equity","EBITDA","1993-06-18","2026-05-02","Per=Y","Days=T","Dir=V")</f>
        <v>0</v>
      </c>
      <c r="AE2">
        <f>BDH("ROCK US Equity","NET_INCOME","1993-06-18","2026-05-02","Per=Y","Days=T","Dir=V")</f>
        <v>0</v>
      </c>
      <c r="AG2">
        <f>BDH("ROCK US Equity","IS_INT_EXPENSE","1993-06-18","2026-05-02","Per=Y","Days=T","Dir=V")</f>
        <v>0</v>
      </c>
      <c r="AI2">
        <f>BDH("ROCK US Equity","IS_DEPR_EXP","1993-06-18","2026-05-02","Per=Y","Days=T","Dir=V")</f>
        <v>0</v>
      </c>
      <c r="AK2">
        <f>BDH("ROCK US Equity","CF_CASH_FROM_OPER","1993-06-18","2026-05-02","Per=Y","Days=T","Dir=V")</f>
        <v>0</v>
      </c>
      <c r="AM2">
        <f>BDH("ROCK US Equity","CAPITAL_EXPEND","1993-06-18","2026-05-02","Per=Y","Days=T","Dir=V")</f>
        <v>0</v>
      </c>
      <c r="AO2">
        <f>BDH("ROCK US Equity","CF_FREE_CASH_FLOW","1993-06-18","2026-05-02","Per=Y","Days=T","Dir=V")</f>
        <v>0</v>
      </c>
      <c r="AQ2">
        <f>BDH("ROCK US Equity","PX_LAST","1993-06-18","2026-05-02","Per=M","Days=T","Dir=V")</f>
        <v>0</v>
      </c>
      <c r="AS2">
        <f>BDH("ROCK US Equity","CUR_MKT_CAP","1993-06-18","2026-05-02","Per=M","Days=T","Dir=V")</f>
        <v>0</v>
      </c>
      <c r="AU2">
        <f>BDH("ROCK US Equity","EQY_SH_OUT","1993-06-18","2026-05-02","Per=M","Days=T","Dir=V")</f>
        <v>0</v>
      </c>
      <c r="AW2">
        <f>BDH("ROCK US Equity","PX_VOLUME","1993-06-18","2026-05-02","Per=M","Days=T","Dir=V")</f>
        <v>0</v>
      </c>
      <c r="AY2">
        <f>BDH("ROCK US Equity","TURNOVER","1993-06-18","2026-05-02","Per=M","Days=T","Dir=V")</f>
        <v>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BDH("ROG US Equity","BS_TOT_ASSET","1993-06-18","2026-05-02","Per=Y","Days=T","Dir=V")</f>
        <v>0</v>
      </c>
      <c r="C2">
        <f>BDH("ROG US Equity","BS_TOT_LIAB2","1993-06-18","2026-05-02","Per=Y","Days=T","Dir=V")</f>
        <v>0</v>
      </c>
      <c r="E2">
        <f>BDH("ROG US Equity","SHORT_AND_LONG_TERM_DEBT","1993-06-18","2026-05-02","Per=Y","Days=T","Dir=V")</f>
        <v>0</v>
      </c>
      <c r="G2">
        <f>BDH("ROG US Equity","BS_ST_BORROW","1993-06-18","2026-05-02","Per=Y","Days=T","Dir=V")</f>
        <v>0</v>
      </c>
      <c r="I2">
        <f>BDH("ROG US Equity","BS_LT_BORROW","1993-06-18","2026-05-02","Per=Y","Days=T","Dir=V")</f>
        <v>0</v>
      </c>
      <c r="K2">
        <f>BDH("ROG US Equity","BS_CASH_NEAR_CASH_ITEM","1993-06-18","2026-05-02","Per=Y","Days=T","Dir=V")</f>
        <v>0</v>
      </c>
      <c r="M2">
        <f>BDH("ROG US Equity","BS_CUR_ASSET_REPORT","1993-06-18","2026-05-02","Per=Y","Days=T","Dir=V")</f>
        <v>0</v>
      </c>
      <c r="O2">
        <f>BDH("ROG US Equity","BS_CUR_LIAB","1993-06-18","2026-05-02","Per=Y","Days=T","Dir=V")</f>
        <v>0</v>
      </c>
      <c r="Q2">
        <f>BDH("ROG US Equity","BS_SHAREHOLDER_EQY_ENDING_PERIOD","1993-06-18","2026-05-02","Per=Y","Days=T","Dir=V")</f>
        <v>0</v>
      </c>
      <c r="S2">
        <f>BDH("ROG US Equity","BS_ACCT_NOTE_RCV","1993-06-18","2026-05-02","Per=Y","Days=T","Dir=V")</f>
        <v>0</v>
      </c>
      <c r="U2">
        <f>BDH("ROG US Equity","BS_INVENTORIES","1993-06-18","2026-05-02","Per=Y","Days=T","Dir=V")</f>
        <v>0</v>
      </c>
      <c r="W2">
        <f>BDH("ROG US Equity","WORKING_CAPITAL","1993-06-18","2026-05-02","Per=Y","Days=T","Dir=V")</f>
        <v>0</v>
      </c>
      <c r="Y2">
        <f>BDH("ROG US Equity","SALES_REV_TURN","1993-06-18","2026-05-02","Per=Y","Days=T","Dir=V")</f>
        <v>0</v>
      </c>
      <c r="AA2">
        <f>BDH("ROG US Equity","EBIT","1993-06-18","2026-05-02","Per=Y","Days=T","Dir=V")</f>
        <v>0</v>
      </c>
      <c r="AC2">
        <f>BDH("ROG US Equity","EBITDA","1993-06-18","2026-05-02","Per=Y","Days=T","Dir=V")</f>
        <v>0</v>
      </c>
      <c r="AE2">
        <f>BDH("ROG US Equity","NET_INCOME","1993-06-18","2026-05-02","Per=Y","Days=T","Dir=V")</f>
        <v>0</v>
      </c>
      <c r="AG2">
        <f>BDH("ROG US Equity","IS_INT_EXPENSE","1993-06-18","2026-05-02","Per=Y","Days=T","Dir=V")</f>
        <v>0</v>
      </c>
      <c r="AI2">
        <f>BDH("ROG US Equity","IS_DEPR_EXP","1993-06-18","2026-05-02","Per=Y","Days=T","Dir=V")</f>
        <v>0</v>
      </c>
      <c r="AK2">
        <f>BDH("ROG US Equity","CF_CASH_FROM_OPER","1993-06-18","2026-05-02","Per=Y","Days=T","Dir=V")</f>
        <v>0</v>
      </c>
      <c r="AM2">
        <f>BDH("ROG US Equity","CAPITAL_EXPEND","1993-06-18","2026-05-02","Per=Y","Days=T","Dir=V")</f>
        <v>0</v>
      </c>
      <c r="AO2">
        <f>BDH("ROG US Equity","CF_FREE_CASH_FLOW","1993-06-18","2026-05-02","Per=Y","Days=T","Dir=V")</f>
        <v>0</v>
      </c>
      <c r="AQ2">
        <f>BDH("ROG US Equity","PX_LAST","1993-06-18","2026-05-02","Per=M","Days=T","Dir=V")</f>
        <v>0</v>
      </c>
      <c r="AS2">
        <f>BDH("ROG US Equity","CUR_MKT_CAP","1993-06-18","2026-05-02","Per=M","Days=T","Dir=V")</f>
        <v>0</v>
      </c>
      <c r="AU2">
        <f>BDH("ROG US Equity","EQY_SH_OUT","1993-06-18","2026-05-02","Per=M","Days=T","Dir=V")</f>
        <v>0</v>
      </c>
      <c r="AW2">
        <f>BDH("ROG US Equity","PX_VOLUME","1993-06-18","2026-05-02","Per=M","Days=T","Dir=V")</f>
        <v>0</v>
      </c>
      <c r="AY2">
        <f>BDH("ROG US Equity","TURNOVER","1993-06-18","2026-05-02","Per=M","Days=T","Dir=V")</f>
        <v>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BDH("ROK US Equity","BS_TOT_ASSET","1993-06-18","2026-05-02","Per=Y","Days=T","Dir=V")</f>
        <v>0</v>
      </c>
      <c r="C2">
        <f>BDH("ROK US Equity","BS_TOT_LIAB2","1993-06-18","2026-05-02","Per=Y","Days=T","Dir=V")</f>
        <v>0</v>
      </c>
      <c r="E2">
        <f>BDH("ROK US Equity","SHORT_AND_LONG_TERM_DEBT","1993-06-18","2026-05-02","Per=Y","Days=T","Dir=V")</f>
        <v>0</v>
      </c>
      <c r="G2">
        <f>BDH("ROK US Equity","BS_ST_BORROW","1993-06-18","2026-05-02","Per=Y","Days=T","Dir=V")</f>
        <v>0</v>
      </c>
      <c r="I2">
        <f>BDH("ROK US Equity","BS_LT_BORROW","1993-06-18","2026-05-02","Per=Y","Days=T","Dir=V")</f>
        <v>0</v>
      </c>
      <c r="K2">
        <f>BDH("ROK US Equity","BS_CASH_NEAR_CASH_ITEM","1993-06-18","2026-05-02","Per=Y","Days=T","Dir=V")</f>
        <v>0</v>
      </c>
      <c r="M2">
        <f>BDH("ROK US Equity","BS_CUR_ASSET_REPORT","1993-06-18","2026-05-02","Per=Y","Days=T","Dir=V")</f>
        <v>0</v>
      </c>
      <c r="O2">
        <f>BDH("ROK US Equity","BS_CUR_LIAB","1993-06-18","2026-05-02","Per=Y","Days=T","Dir=V")</f>
        <v>0</v>
      </c>
      <c r="Q2">
        <f>BDH("ROK US Equity","BS_SHAREHOLDER_EQY_ENDING_PERIOD","1993-06-18","2026-05-02","Per=Y","Days=T","Dir=V")</f>
        <v>0</v>
      </c>
      <c r="S2">
        <f>BDH("ROK US Equity","BS_ACCT_NOTE_RCV","1993-06-18","2026-05-02","Per=Y","Days=T","Dir=V")</f>
        <v>0</v>
      </c>
      <c r="U2">
        <f>BDH("ROK US Equity","BS_INVENTORIES","1993-06-18","2026-05-02","Per=Y","Days=T","Dir=V")</f>
        <v>0</v>
      </c>
      <c r="W2">
        <f>BDH("ROK US Equity","WORKING_CAPITAL","1993-06-18","2026-05-02","Per=Y","Days=T","Dir=V")</f>
        <v>0</v>
      </c>
      <c r="Y2">
        <f>BDH("ROK US Equity","SALES_REV_TURN","1993-06-18","2026-05-02","Per=Y","Days=T","Dir=V")</f>
        <v>0</v>
      </c>
      <c r="AA2">
        <f>BDH("ROK US Equity","EBIT","1993-06-18","2026-05-02","Per=Y","Days=T","Dir=V")</f>
        <v>0</v>
      </c>
      <c r="AC2">
        <f>BDH("ROK US Equity","EBITDA","1993-06-18","2026-05-02","Per=Y","Days=T","Dir=V")</f>
        <v>0</v>
      </c>
      <c r="AE2">
        <f>BDH("ROK US Equity","NET_INCOME","1993-06-18","2026-05-02","Per=Y","Days=T","Dir=V")</f>
        <v>0</v>
      </c>
      <c r="AG2">
        <f>BDH("ROK US Equity","IS_INT_EXPENSE","1993-06-18","2026-05-02","Per=Y","Days=T","Dir=V")</f>
        <v>0</v>
      </c>
      <c r="AI2">
        <f>BDH("ROK US Equity","IS_DEPR_EXP","1993-06-18","2026-05-02","Per=Y","Days=T","Dir=V")</f>
        <v>0</v>
      </c>
      <c r="AK2">
        <f>BDH("ROK US Equity","CF_CASH_FROM_OPER","1993-06-18","2026-05-02","Per=Y","Days=T","Dir=V")</f>
        <v>0</v>
      </c>
      <c r="AM2">
        <f>BDH("ROK US Equity","CAPITAL_EXPEND","1993-06-18","2026-05-02","Per=Y","Days=T","Dir=V")</f>
        <v>0</v>
      </c>
      <c r="AO2">
        <f>BDH("ROK US Equity","CF_FREE_CASH_FLOW","1993-06-18","2026-05-02","Per=Y","Days=T","Dir=V")</f>
        <v>0</v>
      </c>
      <c r="AQ2">
        <f>BDH("ROK US Equity","PX_LAST","1993-06-18","2026-05-02","Per=M","Days=T","Dir=V")</f>
        <v>0</v>
      </c>
      <c r="AS2">
        <f>BDH("ROK US Equity","CUR_MKT_CAP","1993-06-18","2026-05-02","Per=M","Days=T","Dir=V")</f>
        <v>0</v>
      </c>
      <c r="AU2">
        <f>BDH("ROK US Equity","EQY_SH_OUT","1993-06-18","2026-05-02","Per=M","Days=T","Dir=V")</f>
        <v>0</v>
      </c>
      <c r="AW2">
        <f>BDH("ROK US Equity","PX_VOLUME","1993-06-18","2026-05-02","Per=M","Days=T","Dir=V")</f>
        <v>0</v>
      </c>
      <c r="AY2">
        <f>BDH("ROK US Equity","TURNOVER","1993-06-18","2026-05-02","Per=M","Days=T","Dir=V")</f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BDH("ROKU US Equity","BS_TOT_ASSET","1993-06-18","2026-05-02","Per=Y","Days=T","Dir=V")</f>
        <v>0</v>
      </c>
      <c r="C2">
        <f>BDH("ROKU US Equity","BS_TOT_LIAB2","1993-06-18","2026-05-02","Per=Y","Days=T","Dir=V")</f>
        <v>0</v>
      </c>
      <c r="E2">
        <f>BDH("ROKU US Equity","SHORT_AND_LONG_TERM_DEBT","1993-06-18","2026-05-02","Per=Y","Days=T","Dir=V")</f>
        <v>0</v>
      </c>
      <c r="G2">
        <f>BDH("ROKU US Equity","BS_ST_BORROW","1993-06-18","2026-05-02","Per=Y","Days=T","Dir=V")</f>
        <v>0</v>
      </c>
      <c r="I2">
        <f>BDH("ROKU US Equity","BS_LT_BORROW","1993-06-18","2026-05-02","Per=Y","Days=T","Dir=V")</f>
        <v>0</v>
      </c>
      <c r="K2">
        <f>BDH("ROKU US Equity","BS_CASH_NEAR_CASH_ITEM","1993-06-18","2026-05-02","Per=Y","Days=T","Dir=V")</f>
        <v>0</v>
      </c>
      <c r="M2">
        <f>BDH("ROKU US Equity","BS_CUR_ASSET_REPORT","1993-06-18","2026-05-02","Per=Y","Days=T","Dir=V")</f>
        <v>0</v>
      </c>
      <c r="O2">
        <f>BDH("ROKU US Equity","BS_CUR_LIAB","1993-06-18","2026-05-02","Per=Y","Days=T","Dir=V")</f>
        <v>0</v>
      </c>
      <c r="Q2">
        <f>BDH("ROKU US Equity","BS_SHAREHOLDER_EQY_ENDING_PERIOD","1993-06-18","2026-05-02","Per=Y","Days=T","Dir=V")</f>
        <v>0</v>
      </c>
      <c r="S2">
        <f>BDH("ROKU US Equity","BS_ACCT_NOTE_RCV","1993-06-18","2026-05-02","Per=Y","Days=T","Dir=V")</f>
        <v>0</v>
      </c>
      <c r="U2">
        <f>BDH("ROKU US Equity","BS_INVENTORIES","1993-06-18","2026-05-02","Per=Y","Days=T","Dir=V")</f>
        <v>0</v>
      </c>
      <c r="W2">
        <f>BDH("ROKU US Equity","WORKING_CAPITAL","1993-06-18","2026-05-02","Per=Y","Days=T","Dir=V")</f>
        <v>0</v>
      </c>
      <c r="Y2">
        <f>BDH("ROKU US Equity","SALES_REV_TURN","1993-06-18","2026-05-02","Per=Y","Days=T","Dir=V")</f>
        <v>0</v>
      </c>
      <c r="AA2">
        <f>BDH("ROKU US Equity","EBIT","1993-06-18","2026-05-02","Per=Y","Days=T","Dir=V")</f>
        <v>0</v>
      </c>
      <c r="AC2">
        <f>BDH("ROKU US Equity","EBITDA","1993-06-18","2026-05-02","Per=Y","Days=T","Dir=V")</f>
        <v>0</v>
      </c>
      <c r="AE2">
        <f>BDH("ROKU US Equity","NET_INCOME","1993-06-18","2026-05-02","Per=Y","Days=T","Dir=V")</f>
        <v>0</v>
      </c>
      <c r="AG2">
        <f>BDH("ROKU US Equity","IS_INT_EXPENSE","1993-06-18","2026-05-02","Per=Y","Days=T","Dir=V")</f>
        <v>0</v>
      </c>
      <c r="AI2">
        <f>BDH("ROKU US Equity","IS_DEPR_EXP","1993-06-18","2026-05-02","Per=Y","Days=T","Dir=V")</f>
        <v>0</v>
      </c>
      <c r="AK2">
        <f>BDH("ROKU US Equity","CF_CASH_FROM_OPER","1993-06-18","2026-05-02","Per=Y","Days=T","Dir=V")</f>
        <v>0</v>
      </c>
      <c r="AM2">
        <f>BDH("ROKU US Equity","CAPITAL_EXPEND","1993-06-18","2026-05-02","Per=Y","Days=T","Dir=V")</f>
        <v>0</v>
      </c>
      <c r="AO2">
        <f>BDH("ROKU US Equity","CF_FREE_CASH_FLOW","1993-06-18","2026-05-02","Per=Y","Days=T","Dir=V")</f>
        <v>0</v>
      </c>
      <c r="AQ2">
        <f>BDH("ROKU US Equity","PX_LAST","1993-06-18","2026-05-02","Per=M","Days=T","Dir=V")</f>
        <v>0</v>
      </c>
      <c r="AS2">
        <f>BDH("ROKU US Equity","CUR_MKT_CAP","1993-06-18","2026-05-02","Per=M","Days=T","Dir=V")</f>
        <v>0</v>
      </c>
      <c r="AU2">
        <f>BDH("ROKU US Equity","EQY_SH_OUT","1993-06-18","2026-05-02","Per=M","Days=T","Dir=V")</f>
        <v>0</v>
      </c>
      <c r="AW2">
        <f>BDH("ROKU US Equity","PX_VOLUME","1993-06-18","2026-05-02","Per=M","Days=T","Dir=V")</f>
        <v>0</v>
      </c>
      <c r="AY2">
        <f>BDH("ROKU US Equity","TURNOVER","1993-06-18","2026-05-02","Per=M","Days=T","Dir=V")</f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BDH("ROL US Equity","BS_TOT_ASSET","1993-06-18","2026-05-02","Per=Y","Days=T","Dir=V")</f>
        <v>0</v>
      </c>
      <c r="C2">
        <f>BDH("ROL US Equity","BS_TOT_LIAB2","1993-06-18","2026-05-02","Per=Y","Days=T","Dir=V")</f>
        <v>0</v>
      </c>
      <c r="E2">
        <f>BDH("ROL US Equity","SHORT_AND_LONG_TERM_DEBT","1993-06-18","2026-05-02","Per=Y","Days=T","Dir=V")</f>
        <v>0</v>
      </c>
      <c r="G2">
        <f>BDH("ROL US Equity","BS_ST_BORROW","1993-06-18","2026-05-02","Per=Y","Days=T","Dir=V")</f>
        <v>0</v>
      </c>
      <c r="I2">
        <f>BDH("ROL US Equity","BS_LT_BORROW","1993-06-18","2026-05-02","Per=Y","Days=T","Dir=V")</f>
        <v>0</v>
      </c>
      <c r="K2">
        <f>BDH("ROL US Equity","BS_CASH_NEAR_CASH_ITEM","1993-06-18","2026-05-02","Per=Y","Days=T","Dir=V")</f>
        <v>0</v>
      </c>
      <c r="M2">
        <f>BDH("ROL US Equity","BS_CUR_ASSET_REPORT","1993-06-18","2026-05-02","Per=Y","Days=T","Dir=V")</f>
        <v>0</v>
      </c>
      <c r="O2">
        <f>BDH("ROL US Equity","BS_CUR_LIAB","1993-06-18","2026-05-02","Per=Y","Days=T","Dir=V")</f>
        <v>0</v>
      </c>
      <c r="Q2">
        <f>BDH("ROL US Equity","BS_SHAREHOLDER_EQY_ENDING_PERIOD","1993-06-18","2026-05-02","Per=Y","Days=T","Dir=V")</f>
        <v>0</v>
      </c>
      <c r="S2">
        <f>BDH("ROL US Equity","BS_ACCT_NOTE_RCV","1993-06-18","2026-05-02","Per=Y","Days=T","Dir=V")</f>
        <v>0</v>
      </c>
      <c r="U2">
        <f>BDH("ROL US Equity","BS_INVENTORIES","1993-06-18","2026-05-02","Per=Y","Days=T","Dir=V")</f>
        <v>0</v>
      </c>
      <c r="W2">
        <f>BDH("ROL US Equity","WORKING_CAPITAL","1993-06-18","2026-05-02","Per=Y","Days=T","Dir=V")</f>
        <v>0</v>
      </c>
      <c r="Y2">
        <f>BDH("ROL US Equity","SALES_REV_TURN","1993-06-18","2026-05-02","Per=Y","Days=T","Dir=V")</f>
        <v>0</v>
      </c>
      <c r="AA2">
        <f>BDH("ROL US Equity","EBIT","1993-06-18","2026-05-02","Per=Y","Days=T","Dir=V")</f>
        <v>0</v>
      </c>
      <c r="AC2">
        <f>BDH("ROL US Equity","EBITDA","1993-06-18","2026-05-02","Per=Y","Days=T","Dir=V")</f>
        <v>0</v>
      </c>
      <c r="AE2">
        <f>BDH("ROL US Equity","NET_INCOME","1993-06-18","2026-05-02","Per=Y","Days=T","Dir=V")</f>
        <v>0</v>
      </c>
      <c r="AG2">
        <f>BDH("ROL US Equity","IS_INT_EXPENSE","1993-06-18","2026-05-02","Per=Y","Days=T","Dir=V")</f>
        <v>0</v>
      </c>
      <c r="AI2">
        <f>BDH("ROL US Equity","IS_DEPR_EXP","1993-06-18","2026-05-02","Per=Y","Days=T","Dir=V")</f>
        <v>0</v>
      </c>
      <c r="AK2">
        <f>BDH("ROL US Equity","CF_CASH_FROM_OPER","1993-06-18","2026-05-02","Per=Y","Days=T","Dir=V")</f>
        <v>0</v>
      </c>
      <c r="AM2">
        <f>BDH("ROL US Equity","CAPITAL_EXPEND","1993-06-18","2026-05-02","Per=Y","Days=T","Dir=V")</f>
        <v>0</v>
      </c>
      <c r="AO2">
        <f>BDH("ROL US Equity","CF_FREE_CASH_FLOW","1993-06-18","2026-05-02","Per=Y","Days=T","Dir=V")</f>
        <v>0</v>
      </c>
      <c r="AQ2">
        <f>BDH("ROL US Equity","PX_LAST","1993-06-18","2026-05-02","Per=M","Days=T","Dir=V")</f>
        <v>0</v>
      </c>
      <c r="AS2">
        <f>BDH("ROL US Equity","CUR_MKT_CAP","1993-06-18","2026-05-02","Per=M","Days=T","Dir=V")</f>
        <v>0</v>
      </c>
      <c r="AU2">
        <f>BDH("ROL US Equity","EQY_SH_OUT","1993-06-18","2026-05-02","Per=M","Days=T","Dir=V")</f>
        <v>0</v>
      </c>
      <c r="AW2">
        <f>BDH("ROL US Equity","PX_VOLUME","1993-06-18","2026-05-02","Per=M","Days=T","Dir=V")</f>
        <v>0</v>
      </c>
      <c r="AY2">
        <f>BDH("ROL US Equity","TURNOVER","1993-06-18","2026-05-02","Per=M","Days=T","Dir=V")</f>
        <v>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BDH("ROP US Equity","BS_TOT_ASSET","1993-06-18","2026-05-02","Per=Y","Days=T","Dir=V")</f>
        <v>0</v>
      </c>
      <c r="C2">
        <f>BDH("ROP US Equity","BS_TOT_LIAB2","1993-06-18","2026-05-02","Per=Y","Days=T","Dir=V")</f>
        <v>0</v>
      </c>
      <c r="E2">
        <f>BDH("ROP US Equity","SHORT_AND_LONG_TERM_DEBT","1993-06-18","2026-05-02","Per=Y","Days=T","Dir=V")</f>
        <v>0</v>
      </c>
      <c r="G2">
        <f>BDH("ROP US Equity","BS_ST_BORROW","1993-06-18","2026-05-02","Per=Y","Days=T","Dir=V")</f>
        <v>0</v>
      </c>
      <c r="I2">
        <f>BDH("ROP US Equity","BS_LT_BORROW","1993-06-18","2026-05-02","Per=Y","Days=T","Dir=V")</f>
        <v>0</v>
      </c>
      <c r="K2">
        <f>BDH("ROP US Equity","BS_CASH_NEAR_CASH_ITEM","1993-06-18","2026-05-02","Per=Y","Days=T","Dir=V")</f>
        <v>0</v>
      </c>
      <c r="M2">
        <f>BDH("ROP US Equity","BS_CUR_ASSET_REPORT","1993-06-18","2026-05-02","Per=Y","Days=T","Dir=V")</f>
        <v>0</v>
      </c>
      <c r="O2">
        <f>BDH("ROP US Equity","BS_CUR_LIAB","1993-06-18","2026-05-02","Per=Y","Days=T","Dir=V")</f>
        <v>0</v>
      </c>
      <c r="Q2">
        <f>BDH("ROP US Equity","BS_SHAREHOLDER_EQY_ENDING_PERIOD","1993-06-18","2026-05-02","Per=Y","Days=T","Dir=V")</f>
        <v>0</v>
      </c>
      <c r="S2">
        <f>BDH("ROP US Equity","BS_ACCT_NOTE_RCV","1993-06-18","2026-05-02","Per=Y","Days=T","Dir=V")</f>
        <v>0</v>
      </c>
      <c r="U2">
        <f>BDH("ROP US Equity","BS_INVENTORIES","1993-06-18","2026-05-02","Per=Y","Days=T","Dir=V")</f>
        <v>0</v>
      </c>
      <c r="W2">
        <f>BDH("ROP US Equity","WORKING_CAPITAL","1993-06-18","2026-05-02","Per=Y","Days=T","Dir=V")</f>
        <v>0</v>
      </c>
      <c r="Y2">
        <f>BDH("ROP US Equity","SALES_REV_TURN","1993-06-18","2026-05-02","Per=Y","Days=T","Dir=V")</f>
        <v>0</v>
      </c>
      <c r="AA2">
        <f>BDH("ROP US Equity","EBIT","1993-06-18","2026-05-02","Per=Y","Days=T","Dir=V")</f>
        <v>0</v>
      </c>
      <c r="AC2">
        <f>BDH("ROP US Equity","EBITDA","1993-06-18","2026-05-02","Per=Y","Days=T","Dir=V")</f>
        <v>0</v>
      </c>
      <c r="AE2">
        <f>BDH("ROP US Equity","NET_INCOME","1993-06-18","2026-05-02","Per=Y","Days=T","Dir=V")</f>
        <v>0</v>
      </c>
      <c r="AG2">
        <f>BDH("ROP US Equity","IS_INT_EXPENSE","1993-06-18","2026-05-02","Per=Y","Days=T","Dir=V")</f>
        <v>0</v>
      </c>
      <c r="AI2">
        <f>BDH("ROP US Equity","IS_DEPR_EXP","1993-06-18","2026-05-02","Per=Y","Days=T","Dir=V")</f>
        <v>0</v>
      </c>
      <c r="AK2">
        <f>BDH("ROP US Equity","CF_CASH_FROM_OPER","1993-06-18","2026-05-02","Per=Y","Days=T","Dir=V")</f>
        <v>0</v>
      </c>
      <c r="AM2">
        <f>BDH("ROP US Equity","CAPITAL_EXPEND","1993-06-18","2026-05-02","Per=Y","Days=T","Dir=V")</f>
        <v>0</v>
      </c>
      <c r="AO2">
        <f>BDH("ROP US Equity","CF_FREE_CASH_FLOW","1993-06-18","2026-05-02","Per=Y","Days=T","Dir=V")</f>
        <v>0</v>
      </c>
      <c r="AQ2">
        <f>BDH("ROP US Equity","PX_LAST","1993-06-18","2026-05-02","Per=M","Days=T","Dir=V")</f>
        <v>0</v>
      </c>
      <c r="AS2">
        <f>BDH("ROP US Equity","CUR_MKT_CAP","1993-06-18","2026-05-02","Per=M","Days=T","Dir=V")</f>
        <v>0</v>
      </c>
      <c r="AU2">
        <f>BDH("ROP US Equity","EQY_SH_OUT","1993-06-18","2026-05-02","Per=M","Days=T","Dir=V")</f>
        <v>0</v>
      </c>
      <c r="AW2">
        <f>BDH("ROP US Equity","PX_VOLUME","1993-06-18","2026-05-02","Per=M","Days=T","Dir=V")</f>
        <v>0</v>
      </c>
      <c r="AY2">
        <f>BDH("ROP US Equity","TURNOVER","1993-06-18","2026-05-02","Per=M","Days=T","Dir=V")</f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BDH("ROST US Equity","BS_TOT_ASSET","1993-06-18","2026-05-02","Per=Y","Days=T","Dir=V")</f>
        <v>0</v>
      </c>
      <c r="C2">
        <f>BDH("ROST US Equity","BS_TOT_LIAB2","1993-06-18","2026-05-02","Per=Y","Days=T","Dir=V")</f>
        <v>0</v>
      </c>
      <c r="E2">
        <f>BDH("ROST US Equity","SHORT_AND_LONG_TERM_DEBT","1993-06-18","2026-05-02","Per=Y","Days=T","Dir=V")</f>
        <v>0</v>
      </c>
      <c r="G2">
        <f>BDH("ROST US Equity","BS_ST_BORROW","1993-06-18","2026-05-02","Per=Y","Days=T","Dir=V")</f>
        <v>0</v>
      </c>
      <c r="I2">
        <f>BDH("ROST US Equity","BS_LT_BORROW","1993-06-18","2026-05-02","Per=Y","Days=T","Dir=V")</f>
        <v>0</v>
      </c>
      <c r="K2">
        <f>BDH("ROST US Equity","BS_CASH_NEAR_CASH_ITEM","1993-06-18","2026-05-02","Per=Y","Days=T","Dir=V")</f>
        <v>0</v>
      </c>
      <c r="M2">
        <f>BDH("ROST US Equity","BS_CUR_ASSET_REPORT","1993-06-18","2026-05-02","Per=Y","Days=T","Dir=V")</f>
        <v>0</v>
      </c>
      <c r="O2">
        <f>BDH("ROST US Equity","BS_CUR_LIAB","1993-06-18","2026-05-02","Per=Y","Days=T","Dir=V")</f>
        <v>0</v>
      </c>
      <c r="Q2">
        <f>BDH("ROST US Equity","BS_SHAREHOLDER_EQY_ENDING_PERIOD","1993-06-18","2026-05-02","Per=Y","Days=T","Dir=V")</f>
        <v>0</v>
      </c>
      <c r="S2">
        <f>BDH("ROST US Equity","BS_ACCT_NOTE_RCV","1993-06-18","2026-05-02","Per=Y","Days=T","Dir=V")</f>
        <v>0</v>
      </c>
      <c r="U2">
        <f>BDH("ROST US Equity","BS_INVENTORIES","1993-06-18","2026-05-02","Per=Y","Days=T","Dir=V")</f>
        <v>0</v>
      </c>
      <c r="W2">
        <f>BDH("ROST US Equity","WORKING_CAPITAL","1993-06-18","2026-05-02","Per=Y","Days=T","Dir=V")</f>
        <v>0</v>
      </c>
      <c r="Y2">
        <f>BDH("ROST US Equity","SALES_REV_TURN","1993-06-18","2026-05-02","Per=Y","Days=T","Dir=V")</f>
        <v>0</v>
      </c>
      <c r="AA2">
        <f>BDH("ROST US Equity","EBIT","1993-06-18","2026-05-02","Per=Y","Days=T","Dir=V")</f>
        <v>0</v>
      </c>
      <c r="AC2">
        <f>BDH("ROST US Equity","EBITDA","1993-06-18","2026-05-02","Per=Y","Days=T","Dir=V")</f>
        <v>0</v>
      </c>
      <c r="AE2">
        <f>BDH("ROST US Equity","NET_INCOME","1993-06-18","2026-05-02","Per=Y","Days=T","Dir=V")</f>
        <v>0</v>
      </c>
      <c r="AG2">
        <f>BDH("ROST US Equity","IS_INT_EXPENSE","1993-06-18","2026-05-02","Per=Y","Days=T","Dir=V")</f>
        <v>0</v>
      </c>
      <c r="AI2">
        <f>BDH("ROST US Equity","IS_DEPR_EXP","1993-06-18","2026-05-02","Per=Y","Days=T","Dir=V")</f>
        <v>0</v>
      </c>
      <c r="AK2">
        <f>BDH("ROST US Equity","CF_CASH_FROM_OPER","1993-06-18","2026-05-02","Per=Y","Days=T","Dir=V")</f>
        <v>0</v>
      </c>
      <c r="AM2">
        <f>BDH("ROST US Equity","CAPITAL_EXPEND","1993-06-18","2026-05-02","Per=Y","Days=T","Dir=V")</f>
        <v>0</v>
      </c>
      <c r="AO2">
        <f>BDH("ROST US Equity","CF_FREE_CASH_FLOW","1993-06-18","2026-05-02","Per=Y","Days=T","Dir=V")</f>
        <v>0</v>
      </c>
      <c r="AQ2">
        <f>BDH("ROST US Equity","PX_LAST","1993-06-18","2026-05-02","Per=M","Days=T","Dir=V")</f>
        <v>0</v>
      </c>
      <c r="AS2">
        <f>BDH("ROST US Equity","CUR_MKT_CAP","1993-06-18","2026-05-02","Per=M","Days=T","Dir=V")</f>
        <v>0</v>
      </c>
      <c r="AU2">
        <f>BDH("ROST US Equity","EQY_SH_OUT","1993-06-18","2026-05-02","Per=M","Days=T","Dir=V")</f>
        <v>0</v>
      </c>
      <c r="AW2">
        <f>BDH("ROST US Equity","PX_VOLUME","1993-06-18","2026-05-02","Per=M","Days=T","Dir=V")</f>
        <v>0</v>
      </c>
      <c r="AY2">
        <f>BDH("ROST US Equity","TURNOVER","1993-06-18","2026-05-02","Per=M","Days=T","Dir=V")</f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BDH("RPAY US Equity","BS_TOT_ASSET","1993-06-18","2026-05-02","Per=Y","Days=T","Dir=V")</f>
        <v>0</v>
      </c>
      <c r="C2">
        <f>BDH("RPAY US Equity","BS_TOT_LIAB2","1993-06-18","2026-05-02","Per=Y","Days=T","Dir=V")</f>
        <v>0</v>
      </c>
      <c r="E2">
        <f>BDH("RPAY US Equity","SHORT_AND_LONG_TERM_DEBT","1993-06-18","2026-05-02","Per=Y","Days=T","Dir=V")</f>
        <v>0</v>
      </c>
      <c r="G2">
        <f>BDH("RPAY US Equity","BS_ST_BORROW","1993-06-18","2026-05-02","Per=Y","Days=T","Dir=V")</f>
        <v>0</v>
      </c>
      <c r="I2">
        <f>BDH("RPAY US Equity","BS_LT_BORROW","1993-06-18","2026-05-02","Per=Y","Days=T","Dir=V")</f>
        <v>0</v>
      </c>
      <c r="K2">
        <f>BDH("RPAY US Equity","BS_CASH_NEAR_CASH_ITEM","1993-06-18","2026-05-02","Per=Y","Days=T","Dir=V")</f>
        <v>0</v>
      </c>
      <c r="M2">
        <f>BDH("RPAY US Equity","BS_CUR_ASSET_REPORT","1993-06-18","2026-05-02","Per=Y","Days=T","Dir=V")</f>
        <v>0</v>
      </c>
      <c r="O2">
        <f>BDH("RPAY US Equity","BS_CUR_LIAB","1993-06-18","2026-05-02","Per=Y","Days=T","Dir=V")</f>
        <v>0</v>
      </c>
      <c r="Q2">
        <f>BDH("RPAY US Equity","BS_SHAREHOLDER_EQY_ENDING_PERIOD","1993-06-18","2026-05-02","Per=Y","Days=T","Dir=V")</f>
        <v>0</v>
      </c>
      <c r="S2">
        <f>BDH("RPAY US Equity","BS_ACCT_NOTE_RCV","1993-06-18","2026-05-02","Per=Y","Days=T","Dir=V")</f>
        <v>0</v>
      </c>
      <c r="U2">
        <f>BDH("RPAY US Equity","BS_INVENTORIES","1993-06-18","2026-05-02","Per=Y","Days=T","Dir=V")</f>
        <v>0</v>
      </c>
      <c r="W2">
        <f>BDH("RPAY US Equity","WORKING_CAPITAL","1993-06-18","2026-05-02","Per=Y","Days=T","Dir=V")</f>
        <v>0</v>
      </c>
      <c r="Y2">
        <f>BDH("RPAY US Equity","SALES_REV_TURN","1993-06-18","2026-05-02","Per=Y","Days=T","Dir=V")</f>
        <v>0</v>
      </c>
      <c r="AA2">
        <f>BDH("RPAY US Equity","EBIT","1993-06-18","2026-05-02","Per=Y","Days=T","Dir=V")</f>
        <v>0</v>
      </c>
      <c r="AC2">
        <f>BDH("RPAY US Equity","EBITDA","1993-06-18","2026-05-02","Per=Y","Days=T","Dir=V")</f>
        <v>0</v>
      </c>
      <c r="AE2">
        <f>BDH("RPAY US Equity","NET_INCOME","1993-06-18","2026-05-02","Per=Y","Days=T","Dir=V")</f>
        <v>0</v>
      </c>
      <c r="AG2">
        <f>BDH("RPAY US Equity","IS_INT_EXPENSE","1993-06-18","2026-05-02","Per=Y","Days=T","Dir=V")</f>
        <v>0</v>
      </c>
      <c r="AI2">
        <f>BDH("RPAY US Equity","IS_DEPR_EXP","1993-06-18","2026-05-02","Per=Y","Days=T","Dir=V")</f>
        <v>0</v>
      </c>
      <c r="AK2">
        <f>BDH("RPAY US Equity","CF_CASH_FROM_OPER","1993-06-18","2026-05-02","Per=Y","Days=T","Dir=V")</f>
        <v>0</v>
      </c>
      <c r="AM2">
        <f>BDH("RPAY US Equity","CAPITAL_EXPEND","1993-06-18","2026-05-02","Per=Y","Days=T","Dir=V")</f>
        <v>0</v>
      </c>
      <c r="AO2">
        <f>BDH("RPAY US Equity","CF_FREE_CASH_FLOW","1993-06-18","2026-05-02","Per=Y","Days=T","Dir=V")</f>
        <v>0</v>
      </c>
      <c r="AQ2">
        <f>BDH("RPAY US Equity","PX_LAST","1993-06-18","2026-05-02","Per=M","Days=T","Dir=V")</f>
        <v>0</v>
      </c>
      <c r="AS2">
        <f>BDH("RPAY US Equity","CUR_MKT_CAP","1993-06-18","2026-05-02","Per=M","Days=T","Dir=V")</f>
        <v>0</v>
      </c>
      <c r="AU2">
        <f>BDH("RPAY US Equity","EQY_SH_OUT","1993-06-18","2026-05-02","Per=M","Days=T","Dir=V")</f>
        <v>0</v>
      </c>
      <c r="AW2">
        <f>BDH("RPAY US Equity","PX_VOLUME","1993-06-18","2026-05-02","Per=M","Days=T","Dir=V")</f>
        <v>0</v>
      </c>
      <c r="AY2">
        <f>BDH("RPAY US Equity","TURNOVER","1993-06-18","2026-05-02","Per=M","Days=T","Dir=V")</f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BDH("RPD US Equity","BS_TOT_ASSET","1993-06-18","2026-05-02","Per=Y","Days=T","Dir=V")</f>
        <v>0</v>
      </c>
      <c r="C2">
        <f>BDH("RPD US Equity","BS_TOT_LIAB2","1993-06-18","2026-05-02","Per=Y","Days=T","Dir=V")</f>
        <v>0</v>
      </c>
      <c r="E2">
        <f>BDH("RPD US Equity","SHORT_AND_LONG_TERM_DEBT","1993-06-18","2026-05-02","Per=Y","Days=T","Dir=V")</f>
        <v>0</v>
      </c>
      <c r="G2">
        <f>BDH("RPD US Equity","BS_ST_BORROW","1993-06-18","2026-05-02","Per=Y","Days=T","Dir=V")</f>
        <v>0</v>
      </c>
      <c r="I2">
        <f>BDH("RPD US Equity","BS_LT_BORROW","1993-06-18","2026-05-02","Per=Y","Days=T","Dir=V")</f>
        <v>0</v>
      </c>
      <c r="K2">
        <f>BDH("RPD US Equity","BS_CASH_NEAR_CASH_ITEM","1993-06-18","2026-05-02","Per=Y","Days=T","Dir=V")</f>
        <v>0</v>
      </c>
      <c r="M2">
        <f>BDH("RPD US Equity","BS_CUR_ASSET_REPORT","1993-06-18","2026-05-02","Per=Y","Days=T","Dir=V")</f>
        <v>0</v>
      </c>
      <c r="O2">
        <f>BDH("RPD US Equity","BS_CUR_LIAB","1993-06-18","2026-05-02","Per=Y","Days=T","Dir=V")</f>
        <v>0</v>
      </c>
      <c r="Q2">
        <f>BDH("RPD US Equity","BS_SHAREHOLDER_EQY_ENDING_PERIOD","1993-06-18","2026-05-02","Per=Y","Days=T","Dir=V")</f>
        <v>0</v>
      </c>
      <c r="S2">
        <f>BDH("RPD US Equity","BS_ACCT_NOTE_RCV","1993-06-18","2026-05-02","Per=Y","Days=T","Dir=V")</f>
        <v>0</v>
      </c>
      <c r="U2">
        <f>BDH("RPD US Equity","BS_INVENTORIES","1993-06-18","2026-05-02","Per=Y","Days=T","Dir=V")</f>
        <v>0</v>
      </c>
      <c r="W2">
        <f>BDH("RPD US Equity","WORKING_CAPITAL","1993-06-18","2026-05-02","Per=Y","Days=T","Dir=V")</f>
        <v>0</v>
      </c>
      <c r="Y2">
        <f>BDH("RPD US Equity","SALES_REV_TURN","1993-06-18","2026-05-02","Per=Y","Days=T","Dir=V")</f>
        <v>0</v>
      </c>
      <c r="AA2">
        <f>BDH("RPD US Equity","EBIT","1993-06-18","2026-05-02","Per=Y","Days=T","Dir=V")</f>
        <v>0</v>
      </c>
      <c r="AC2">
        <f>BDH("RPD US Equity","EBITDA","1993-06-18","2026-05-02","Per=Y","Days=T","Dir=V")</f>
        <v>0</v>
      </c>
      <c r="AE2">
        <f>BDH("RPD US Equity","NET_INCOME","1993-06-18","2026-05-02","Per=Y","Days=T","Dir=V")</f>
        <v>0</v>
      </c>
      <c r="AG2">
        <f>BDH("RPD US Equity","IS_INT_EXPENSE","1993-06-18","2026-05-02","Per=Y","Days=T","Dir=V")</f>
        <v>0</v>
      </c>
      <c r="AI2">
        <f>BDH("RPD US Equity","IS_DEPR_EXP","1993-06-18","2026-05-02","Per=Y","Days=T","Dir=V")</f>
        <v>0</v>
      </c>
      <c r="AK2">
        <f>BDH("RPD US Equity","CF_CASH_FROM_OPER","1993-06-18","2026-05-02","Per=Y","Days=T","Dir=V")</f>
        <v>0</v>
      </c>
      <c r="AM2">
        <f>BDH("RPD US Equity","CAPITAL_EXPEND","1993-06-18","2026-05-02","Per=Y","Days=T","Dir=V")</f>
        <v>0</v>
      </c>
      <c r="AO2">
        <f>BDH("RPD US Equity","CF_FREE_CASH_FLOW","1993-06-18","2026-05-02","Per=Y","Days=T","Dir=V")</f>
        <v>0</v>
      </c>
      <c r="AQ2">
        <f>BDH("RPD US Equity","PX_LAST","1993-06-18","2026-05-02","Per=M","Days=T","Dir=V")</f>
        <v>0</v>
      </c>
      <c r="AS2">
        <f>BDH("RPD US Equity","CUR_MKT_CAP","1993-06-18","2026-05-02","Per=M","Days=T","Dir=V")</f>
        <v>0</v>
      </c>
      <c r="AU2">
        <f>BDH("RPD US Equity","EQY_SH_OUT","1993-06-18","2026-05-02","Per=M","Days=T","Dir=V")</f>
        <v>0</v>
      </c>
      <c r="AW2">
        <f>BDH("RPD US Equity","PX_VOLUME","1993-06-18","2026-05-02","Per=M","Days=T","Dir=V")</f>
        <v>0</v>
      </c>
      <c r="AY2">
        <f>BDH("RPD US Equity","TURNOVER","1993-06-18","2026-05-02","Per=M","Days=T","Dir=V")</f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BDH("RPID US Equity","BS_TOT_ASSET","1993-06-18","2026-05-02","Per=Y","Days=T","Dir=V")</f>
        <v>0</v>
      </c>
      <c r="C2">
        <f>BDH("RPID US Equity","BS_TOT_LIAB2","1993-06-18","2026-05-02","Per=Y","Days=T","Dir=V")</f>
        <v>0</v>
      </c>
      <c r="E2">
        <f>BDH("RPID US Equity","SHORT_AND_LONG_TERM_DEBT","1993-06-18","2026-05-02","Per=Y","Days=T","Dir=V")</f>
        <v>0</v>
      </c>
      <c r="G2">
        <f>BDH("RPID US Equity","BS_ST_BORROW","1993-06-18","2026-05-02","Per=Y","Days=T","Dir=V")</f>
        <v>0</v>
      </c>
      <c r="I2">
        <f>BDH("RPID US Equity","BS_LT_BORROW","1993-06-18","2026-05-02","Per=Y","Days=T","Dir=V")</f>
        <v>0</v>
      </c>
      <c r="K2">
        <f>BDH("RPID US Equity","BS_CASH_NEAR_CASH_ITEM","1993-06-18","2026-05-02","Per=Y","Days=T","Dir=V")</f>
        <v>0</v>
      </c>
      <c r="M2">
        <f>BDH("RPID US Equity","BS_CUR_ASSET_REPORT","1993-06-18","2026-05-02","Per=Y","Days=T","Dir=V")</f>
        <v>0</v>
      </c>
      <c r="O2">
        <f>BDH("RPID US Equity","BS_CUR_LIAB","1993-06-18","2026-05-02","Per=Y","Days=T","Dir=V")</f>
        <v>0</v>
      </c>
      <c r="Q2">
        <f>BDH("RPID US Equity","BS_SHAREHOLDER_EQY_ENDING_PERIOD","1993-06-18","2026-05-02","Per=Y","Days=T","Dir=V")</f>
        <v>0</v>
      </c>
      <c r="S2">
        <f>BDH("RPID US Equity","BS_ACCT_NOTE_RCV","1993-06-18","2026-05-02","Per=Y","Days=T","Dir=V")</f>
        <v>0</v>
      </c>
      <c r="U2">
        <f>BDH("RPID US Equity","BS_INVENTORIES","1993-06-18","2026-05-02","Per=Y","Days=T","Dir=V")</f>
        <v>0</v>
      </c>
      <c r="W2">
        <f>BDH("RPID US Equity","WORKING_CAPITAL","1993-06-18","2026-05-02","Per=Y","Days=T","Dir=V")</f>
        <v>0</v>
      </c>
      <c r="Y2">
        <f>BDH("RPID US Equity","SALES_REV_TURN","1993-06-18","2026-05-02","Per=Y","Days=T","Dir=V")</f>
        <v>0</v>
      </c>
      <c r="AA2">
        <f>BDH("RPID US Equity","EBIT","1993-06-18","2026-05-02","Per=Y","Days=T","Dir=V")</f>
        <v>0</v>
      </c>
      <c r="AC2">
        <f>BDH("RPID US Equity","EBITDA","1993-06-18","2026-05-02","Per=Y","Days=T","Dir=V")</f>
        <v>0</v>
      </c>
      <c r="AE2">
        <f>BDH("RPID US Equity","NET_INCOME","1993-06-18","2026-05-02","Per=Y","Days=T","Dir=V")</f>
        <v>0</v>
      </c>
      <c r="AG2">
        <f>BDH("RPID US Equity","IS_INT_EXPENSE","1993-06-18","2026-05-02","Per=Y","Days=T","Dir=V")</f>
        <v>0</v>
      </c>
      <c r="AI2">
        <f>BDH("RPID US Equity","IS_DEPR_EXP","1993-06-18","2026-05-02","Per=Y","Days=T","Dir=V")</f>
        <v>0</v>
      </c>
      <c r="AK2">
        <f>BDH("RPID US Equity","CF_CASH_FROM_OPER","1993-06-18","2026-05-02","Per=Y","Days=T","Dir=V")</f>
        <v>0</v>
      </c>
      <c r="AM2">
        <f>BDH("RPID US Equity","CAPITAL_EXPEND","1993-06-18","2026-05-02","Per=Y","Days=T","Dir=V")</f>
        <v>0</v>
      </c>
      <c r="AO2">
        <f>BDH("RPID US Equity","CF_FREE_CASH_FLOW","1993-06-18","2026-05-02","Per=Y","Days=T","Dir=V")</f>
        <v>0</v>
      </c>
      <c r="AQ2">
        <f>BDH("RPID US Equity","PX_LAST","1993-06-18","2026-05-02","Per=M","Days=T","Dir=V")</f>
        <v>0</v>
      </c>
      <c r="AS2">
        <f>BDH("RPID US Equity","CUR_MKT_CAP","1993-06-18","2026-05-02","Per=M","Days=T","Dir=V")</f>
        <v>0</v>
      </c>
      <c r="AU2">
        <f>BDH("RPID US Equity","EQY_SH_OUT","1993-06-18","2026-05-02","Per=M","Days=T","Dir=V")</f>
        <v>0</v>
      </c>
      <c r="AW2">
        <f>BDH("RPID US Equity","PX_VOLUME","1993-06-18","2026-05-02","Per=M","Days=T","Dir=V")</f>
        <v>0</v>
      </c>
      <c r="AY2">
        <f>BDH("RPID US Equity","TURNOVER","1993-06-18","2026-05-02","Per=M","Days=T","Dir=V")</f>
        <v>0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BDH("RPM US Equity","BS_TOT_ASSET","1993-06-18","2026-05-02","Per=Y","Days=T","Dir=V")</f>
        <v>0</v>
      </c>
      <c r="C2">
        <f>BDH("RPM US Equity","BS_TOT_LIAB2","1993-06-18","2026-05-02","Per=Y","Days=T","Dir=V")</f>
        <v>0</v>
      </c>
      <c r="E2">
        <f>BDH("RPM US Equity","SHORT_AND_LONG_TERM_DEBT","1993-06-18","2026-05-02","Per=Y","Days=T","Dir=V")</f>
        <v>0</v>
      </c>
      <c r="G2">
        <f>BDH("RPM US Equity","BS_ST_BORROW","1993-06-18","2026-05-02","Per=Y","Days=T","Dir=V")</f>
        <v>0</v>
      </c>
      <c r="I2">
        <f>BDH("RPM US Equity","BS_LT_BORROW","1993-06-18","2026-05-02","Per=Y","Days=T","Dir=V")</f>
        <v>0</v>
      </c>
      <c r="K2">
        <f>BDH("RPM US Equity","BS_CASH_NEAR_CASH_ITEM","1993-06-18","2026-05-02","Per=Y","Days=T","Dir=V")</f>
        <v>0</v>
      </c>
      <c r="M2">
        <f>BDH("RPM US Equity","BS_CUR_ASSET_REPORT","1993-06-18","2026-05-02","Per=Y","Days=T","Dir=V")</f>
        <v>0</v>
      </c>
      <c r="O2">
        <f>BDH("RPM US Equity","BS_CUR_LIAB","1993-06-18","2026-05-02","Per=Y","Days=T","Dir=V")</f>
        <v>0</v>
      </c>
      <c r="Q2">
        <f>BDH("RPM US Equity","BS_SHAREHOLDER_EQY_ENDING_PERIOD","1993-06-18","2026-05-02","Per=Y","Days=T","Dir=V")</f>
        <v>0</v>
      </c>
      <c r="S2">
        <f>BDH("RPM US Equity","BS_ACCT_NOTE_RCV","1993-06-18","2026-05-02","Per=Y","Days=T","Dir=V")</f>
        <v>0</v>
      </c>
      <c r="U2">
        <f>BDH("RPM US Equity","BS_INVENTORIES","1993-06-18","2026-05-02","Per=Y","Days=T","Dir=V")</f>
        <v>0</v>
      </c>
      <c r="W2">
        <f>BDH("RPM US Equity","WORKING_CAPITAL","1993-06-18","2026-05-02","Per=Y","Days=T","Dir=V")</f>
        <v>0</v>
      </c>
      <c r="Y2">
        <f>BDH("RPM US Equity","SALES_REV_TURN","1993-06-18","2026-05-02","Per=Y","Days=T","Dir=V")</f>
        <v>0</v>
      </c>
      <c r="AA2">
        <f>BDH("RPM US Equity","EBIT","1993-06-18","2026-05-02","Per=Y","Days=T","Dir=V")</f>
        <v>0</v>
      </c>
      <c r="AC2">
        <f>BDH("RPM US Equity","EBITDA","1993-06-18","2026-05-02","Per=Y","Days=T","Dir=V")</f>
        <v>0</v>
      </c>
      <c r="AE2">
        <f>BDH("RPM US Equity","NET_INCOME","1993-06-18","2026-05-02","Per=Y","Days=T","Dir=V")</f>
        <v>0</v>
      </c>
      <c r="AG2">
        <f>BDH("RPM US Equity","IS_INT_EXPENSE","1993-06-18","2026-05-02","Per=Y","Days=T","Dir=V")</f>
        <v>0</v>
      </c>
      <c r="AI2">
        <f>BDH("RPM US Equity","IS_DEPR_EXP","1993-06-18","2026-05-02","Per=Y","Days=T","Dir=V")</f>
        <v>0</v>
      </c>
      <c r="AK2">
        <f>BDH("RPM US Equity","CF_CASH_FROM_OPER","1993-06-18","2026-05-02","Per=Y","Days=T","Dir=V")</f>
        <v>0</v>
      </c>
      <c r="AM2">
        <f>BDH("RPM US Equity","CAPITAL_EXPEND","1993-06-18","2026-05-02","Per=Y","Days=T","Dir=V")</f>
        <v>0</v>
      </c>
      <c r="AO2">
        <f>BDH("RPM US Equity","CF_FREE_CASH_FLOW","1993-06-18","2026-05-02","Per=Y","Days=T","Dir=V")</f>
        <v>0</v>
      </c>
      <c r="AQ2">
        <f>BDH("RPM US Equity","PX_LAST","1993-06-18","2026-05-02","Per=M","Days=T","Dir=V")</f>
        <v>0</v>
      </c>
      <c r="AS2">
        <f>BDH("RPM US Equity","CUR_MKT_CAP","1993-06-18","2026-05-02","Per=M","Days=T","Dir=V")</f>
        <v>0</v>
      </c>
      <c r="AU2">
        <f>BDH("RPM US Equity","EQY_SH_OUT","1993-06-18","2026-05-02","Per=M","Days=T","Dir=V")</f>
        <v>0</v>
      </c>
      <c r="AW2">
        <f>BDH("RPM US Equity","PX_VOLUME","1993-06-18","2026-05-02","Per=M","Days=T","Dir=V")</f>
        <v>0</v>
      </c>
      <c r="AY2">
        <f>BDH("RPM US Equity","TURNOVER","1993-06-18","2026-05-02","Per=M","Days=T","Dir=V")</f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BDH("RPRX US Equity","BS_TOT_ASSET","1993-06-18","2026-05-02","Per=Y","Days=T","Dir=V")</f>
        <v>0</v>
      </c>
      <c r="C2">
        <f>BDH("RPRX US Equity","BS_TOT_LIAB2","1993-06-18","2026-05-02","Per=Y","Days=T","Dir=V")</f>
        <v>0</v>
      </c>
      <c r="E2">
        <f>BDH("RPRX US Equity","SHORT_AND_LONG_TERM_DEBT","1993-06-18","2026-05-02","Per=Y","Days=T","Dir=V")</f>
        <v>0</v>
      </c>
      <c r="G2">
        <f>BDH("RPRX US Equity","BS_ST_BORROW","1993-06-18","2026-05-02","Per=Y","Days=T","Dir=V")</f>
        <v>0</v>
      </c>
      <c r="I2">
        <f>BDH("RPRX US Equity","BS_LT_BORROW","1993-06-18","2026-05-02","Per=Y","Days=T","Dir=V")</f>
        <v>0</v>
      </c>
      <c r="K2">
        <f>BDH("RPRX US Equity","BS_CASH_NEAR_CASH_ITEM","1993-06-18","2026-05-02","Per=Y","Days=T","Dir=V")</f>
        <v>0</v>
      </c>
      <c r="M2">
        <f>BDH("RPRX US Equity","BS_CUR_ASSET_REPORT","1993-06-18","2026-05-02","Per=Y","Days=T","Dir=V")</f>
        <v>0</v>
      </c>
      <c r="O2">
        <f>BDH("RPRX US Equity","BS_CUR_LIAB","1993-06-18","2026-05-02","Per=Y","Days=T","Dir=V")</f>
        <v>0</v>
      </c>
      <c r="Q2">
        <f>BDH("RPRX US Equity","BS_SHAREHOLDER_EQY_ENDING_PERIOD","1993-06-18","2026-05-02","Per=Y","Days=T","Dir=V")</f>
        <v>0</v>
      </c>
      <c r="S2">
        <f>BDH("RPRX US Equity","BS_ACCT_NOTE_RCV","1993-06-18","2026-05-02","Per=Y","Days=T","Dir=V")</f>
        <v>0</v>
      </c>
      <c r="U2">
        <f>BDH("RPRX US Equity","BS_INVENTORIES","1993-06-18","2026-05-02","Per=Y","Days=T","Dir=V")</f>
        <v>0</v>
      </c>
      <c r="W2">
        <f>BDH("RPRX US Equity","WORKING_CAPITAL","1993-06-18","2026-05-02","Per=Y","Days=T","Dir=V")</f>
        <v>0</v>
      </c>
      <c r="Y2">
        <f>BDH("RPRX US Equity","SALES_REV_TURN","1993-06-18","2026-05-02","Per=Y","Days=T","Dir=V")</f>
        <v>0</v>
      </c>
      <c r="AA2">
        <f>BDH("RPRX US Equity","EBIT","1993-06-18","2026-05-02","Per=Y","Days=T","Dir=V")</f>
        <v>0</v>
      </c>
      <c r="AC2">
        <f>BDH("RPRX US Equity","EBITDA","1993-06-18","2026-05-02","Per=Y","Days=T","Dir=V")</f>
        <v>0</v>
      </c>
      <c r="AE2">
        <f>BDH("RPRX US Equity","NET_INCOME","1993-06-18","2026-05-02","Per=Y","Days=T","Dir=V")</f>
        <v>0</v>
      </c>
      <c r="AG2">
        <f>BDH("RPRX US Equity","IS_INT_EXPENSE","1993-06-18","2026-05-02","Per=Y","Days=T","Dir=V")</f>
        <v>0</v>
      </c>
      <c r="AI2">
        <f>BDH("RPRX US Equity","IS_DEPR_EXP","1993-06-18","2026-05-02","Per=Y","Days=T","Dir=V")</f>
        <v>0</v>
      </c>
      <c r="AK2">
        <f>BDH("RPRX US Equity","CF_CASH_FROM_OPER","1993-06-18","2026-05-02","Per=Y","Days=T","Dir=V")</f>
        <v>0</v>
      </c>
      <c r="AM2">
        <f>BDH("RPRX US Equity","CAPITAL_EXPEND","1993-06-18","2026-05-02","Per=Y","Days=T","Dir=V")</f>
        <v>0</v>
      </c>
      <c r="AO2">
        <f>BDH("RPRX US Equity","CF_FREE_CASH_FLOW","1993-06-18","2026-05-02","Per=Y","Days=T","Dir=V")</f>
        <v>0</v>
      </c>
      <c r="AQ2">
        <f>BDH("RPRX US Equity","PX_LAST","1993-06-18","2026-05-02","Per=M","Days=T","Dir=V")</f>
        <v>0</v>
      </c>
      <c r="AS2">
        <f>BDH("RPRX US Equity","CUR_MKT_CAP","1993-06-18","2026-05-02","Per=M","Days=T","Dir=V")</f>
        <v>0</v>
      </c>
      <c r="AU2">
        <f>BDH("RPRX US Equity","EQY_SH_OUT","1993-06-18","2026-05-02","Per=M","Days=T","Dir=V")</f>
        <v>0</v>
      </c>
      <c r="AW2">
        <f>BDH("RPRX US Equity","PX_VOLUME","1993-06-18","2026-05-02","Per=M","Days=T","Dir=V")</f>
        <v>0</v>
      </c>
      <c r="AY2">
        <f>BDH("RPRX US Equity","TURNOVER","1993-06-18","2026-05-02","Per=M","Days=T","Dir=V")</f>
        <v>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BDH("RR US Equity","BS_TOT_ASSET","1993-06-18","2026-05-02","Per=Y","Days=T","Dir=V")</f>
        <v>0</v>
      </c>
      <c r="C2">
        <f>BDH("RR US Equity","BS_TOT_LIAB2","1993-06-18","2026-05-02","Per=Y","Days=T","Dir=V")</f>
        <v>0</v>
      </c>
      <c r="E2">
        <f>BDH("RR US Equity","SHORT_AND_LONG_TERM_DEBT","1993-06-18","2026-05-02","Per=Y","Days=T","Dir=V")</f>
        <v>0</v>
      </c>
      <c r="G2">
        <f>BDH("RR US Equity","BS_ST_BORROW","1993-06-18","2026-05-02","Per=Y","Days=T","Dir=V")</f>
        <v>0</v>
      </c>
      <c r="I2">
        <f>BDH("RR US Equity","BS_LT_BORROW","1993-06-18","2026-05-02","Per=Y","Days=T","Dir=V")</f>
        <v>0</v>
      </c>
      <c r="K2">
        <f>BDH("RR US Equity","BS_CASH_NEAR_CASH_ITEM","1993-06-18","2026-05-02","Per=Y","Days=T","Dir=V")</f>
        <v>0</v>
      </c>
      <c r="M2">
        <f>BDH("RR US Equity","BS_CUR_ASSET_REPORT","1993-06-18","2026-05-02","Per=Y","Days=T","Dir=V")</f>
        <v>0</v>
      </c>
      <c r="O2">
        <f>BDH("RR US Equity","BS_CUR_LIAB","1993-06-18","2026-05-02","Per=Y","Days=T","Dir=V")</f>
        <v>0</v>
      </c>
      <c r="Q2">
        <f>BDH("RR US Equity","BS_SHAREHOLDER_EQY_ENDING_PERIOD","1993-06-18","2026-05-02","Per=Y","Days=T","Dir=V")</f>
        <v>0</v>
      </c>
      <c r="S2">
        <f>BDH("RR US Equity","BS_ACCT_NOTE_RCV","1993-06-18","2026-05-02","Per=Y","Days=T","Dir=V")</f>
        <v>0</v>
      </c>
      <c r="U2">
        <f>BDH("RR US Equity","BS_INVENTORIES","1993-06-18","2026-05-02","Per=Y","Days=T","Dir=V")</f>
        <v>0</v>
      </c>
      <c r="W2">
        <f>BDH("RR US Equity","WORKING_CAPITAL","1993-06-18","2026-05-02","Per=Y","Days=T","Dir=V")</f>
        <v>0</v>
      </c>
      <c r="Y2">
        <f>BDH("RR US Equity","SALES_REV_TURN","1993-06-18","2026-05-02","Per=Y","Days=T","Dir=V")</f>
        <v>0</v>
      </c>
      <c r="AA2">
        <f>BDH("RR US Equity","EBIT","1993-06-18","2026-05-02","Per=Y","Days=T","Dir=V")</f>
        <v>0</v>
      </c>
      <c r="AC2">
        <f>BDH("RR US Equity","EBITDA","1993-06-18","2026-05-02","Per=Y","Days=T","Dir=V")</f>
        <v>0</v>
      </c>
      <c r="AE2">
        <f>BDH("RR US Equity","NET_INCOME","1993-06-18","2026-05-02","Per=Y","Days=T","Dir=V")</f>
        <v>0</v>
      </c>
      <c r="AG2">
        <f>BDH("RR US Equity","IS_INT_EXPENSE","1993-06-18","2026-05-02","Per=Y","Days=T","Dir=V")</f>
        <v>0</v>
      </c>
      <c r="AI2">
        <f>BDH("RR US Equity","IS_DEPR_EXP","1993-06-18","2026-05-02","Per=Y","Days=T","Dir=V")</f>
        <v>0</v>
      </c>
      <c r="AK2">
        <f>BDH("RR US Equity","CF_CASH_FROM_OPER","1993-06-18","2026-05-02","Per=Y","Days=T","Dir=V")</f>
        <v>0</v>
      </c>
      <c r="AM2">
        <f>BDH("RR US Equity","CAPITAL_EXPEND","1993-06-18","2026-05-02","Per=Y","Days=T","Dir=V")</f>
        <v>0</v>
      </c>
      <c r="AO2">
        <f>BDH("RR US Equity","CF_FREE_CASH_FLOW","1993-06-18","2026-05-02","Per=Y","Days=T","Dir=V")</f>
        <v>0</v>
      </c>
      <c r="AQ2">
        <f>BDH("RR US Equity","PX_LAST","1993-06-18","2026-05-02","Per=M","Days=T","Dir=V")</f>
        <v>0</v>
      </c>
      <c r="AS2">
        <f>BDH("RR US Equity","CUR_MKT_CAP","1993-06-18","2026-05-02","Per=M","Days=T","Dir=V")</f>
        <v>0</v>
      </c>
      <c r="AU2">
        <f>BDH("RR US Equity","EQY_SH_OUT","1993-06-18","2026-05-02","Per=M","Days=T","Dir=V")</f>
        <v>0</v>
      </c>
      <c r="AW2">
        <f>BDH("RR US Equity","PX_VOLUME","1993-06-18","2026-05-02","Per=M","Days=T","Dir=V")</f>
        <v>0</v>
      </c>
      <c r="AY2">
        <f>BDH("RR US Equity","TURNOVER","1993-06-18","2026-05-02","Per=M","Days=T","Dir=V")</f>
        <v>0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BDH("RRC US Equity","BS_TOT_ASSET","1993-06-18","2026-05-02","Per=Y","Days=T","Dir=V")</f>
        <v>0</v>
      </c>
      <c r="C2">
        <f>BDH("RRC US Equity","BS_TOT_LIAB2","1993-06-18","2026-05-02","Per=Y","Days=T","Dir=V")</f>
        <v>0</v>
      </c>
      <c r="E2">
        <f>BDH("RRC US Equity","SHORT_AND_LONG_TERM_DEBT","1993-06-18","2026-05-02","Per=Y","Days=T","Dir=V")</f>
        <v>0</v>
      </c>
      <c r="G2">
        <f>BDH("RRC US Equity","BS_ST_BORROW","1993-06-18","2026-05-02","Per=Y","Days=T","Dir=V")</f>
        <v>0</v>
      </c>
      <c r="I2">
        <f>BDH("RRC US Equity","BS_LT_BORROW","1993-06-18","2026-05-02","Per=Y","Days=T","Dir=V")</f>
        <v>0</v>
      </c>
      <c r="K2">
        <f>BDH("RRC US Equity","BS_CASH_NEAR_CASH_ITEM","1993-06-18","2026-05-02","Per=Y","Days=T","Dir=V")</f>
        <v>0</v>
      </c>
      <c r="M2">
        <f>BDH("RRC US Equity","BS_CUR_ASSET_REPORT","1993-06-18","2026-05-02","Per=Y","Days=T","Dir=V")</f>
        <v>0</v>
      </c>
      <c r="O2">
        <f>BDH("RRC US Equity","BS_CUR_LIAB","1993-06-18","2026-05-02","Per=Y","Days=T","Dir=V")</f>
        <v>0</v>
      </c>
      <c r="Q2">
        <f>BDH("RRC US Equity","BS_SHAREHOLDER_EQY_ENDING_PERIOD","1993-06-18","2026-05-02","Per=Y","Days=T","Dir=V")</f>
        <v>0</v>
      </c>
      <c r="S2">
        <f>BDH("RRC US Equity","BS_ACCT_NOTE_RCV","1993-06-18","2026-05-02","Per=Y","Days=T","Dir=V")</f>
        <v>0</v>
      </c>
      <c r="U2">
        <f>BDH("RRC US Equity","BS_INVENTORIES","1993-06-18","2026-05-02","Per=Y","Days=T","Dir=V")</f>
        <v>0</v>
      </c>
      <c r="W2">
        <f>BDH("RRC US Equity","WORKING_CAPITAL","1993-06-18","2026-05-02","Per=Y","Days=T","Dir=V")</f>
        <v>0</v>
      </c>
      <c r="Y2">
        <f>BDH("RRC US Equity","SALES_REV_TURN","1993-06-18","2026-05-02","Per=Y","Days=T","Dir=V")</f>
        <v>0</v>
      </c>
      <c r="AA2">
        <f>BDH("RRC US Equity","EBIT","1993-06-18","2026-05-02","Per=Y","Days=T","Dir=V")</f>
        <v>0</v>
      </c>
      <c r="AC2">
        <f>BDH("RRC US Equity","EBITDA","1993-06-18","2026-05-02","Per=Y","Days=T","Dir=V")</f>
        <v>0</v>
      </c>
      <c r="AE2">
        <f>BDH("RRC US Equity","NET_INCOME","1993-06-18","2026-05-02","Per=Y","Days=T","Dir=V")</f>
        <v>0</v>
      </c>
      <c r="AG2">
        <f>BDH("RRC US Equity","IS_INT_EXPENSE","1993-06-18","2026-05-02","Per=Y","Days=T","Dir=V")</f>
        <v>0</v>
      </c>
      <c r="AI2">
        <f>BDH("RRC US Equity","IS_DEPR_EXP","1993-06-18","2026-05-02","Per=Y","Days=T","Dir=V")</f>
        <v>0</v>
      </c>
      <c r="AK2">
        <f>BDH("RRC US Equity","CF_CASH_FROM_OPER","1993-06-18","2026-05-02","Per=Y","Days=T","Dir=V")</f>
        <v>0</v>
      </c>
      <c r="AM2">
        <f>BDH("RRC US Equity","CAPITAL_EXPEND","1993-06-18","2026-05-02","Per=Y","Days=T","Dir=V")</f>
        <v>0</v>
      </c>
      <c r="AO2">
        <f>BDH("RRC US Equity","CF_FREE_CASH_FLOW","1993-06-18","2026-05-02","Per=Y","Days=T","Dir=V")</f>
        <v>0</v>
      </c>
      <c r="AQ2">
        <f>BDH("RRC US Equity","PX_LAST","1993-06-18","2026-05-02","Per=M","Days=T","Dir=V")</f>
        <v>0</v>
      </c>
      <c r="AS2">
        <f>BDH("RRC US Equity","CUR_MKT_CAP","1993-06-18","2026-05-02","Per=M","Days=T","Dir=V")</f>
        <v>0</v>
      </c>
      <c r="AU2">
        <f>BDH("RRC US Equity","EQY_SH_OUT","1993-06-18","2026-05-02","Per=M","Days=T","Dir=V")</f>
        <v>0</v>
      </c>
      <c r="AW2">
        <f>BDH("RRC US Equity","PX_VOLUME","1993-06-18","2026-05-02","Per=M","Days=T","Dir=V")</f>
        <v>0</v>
      </c>
      <c r="AY2">
        <f>BDH("RRC US Equity","TURNOVER","1993-06-18","2026-05-02","Per=M","Days=T","Dir=V")</f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BDH("RRGB US Equity","BS_TOT_ASSET","1993-06-18","2026-05-02","Per=Y","Days=T","Dir=V")</f>
        <v>0</v>
      </c>
      <c r="C2">
        <f>BDH("RRGB US Equity","BS_TOT_LIAB2","1993-06-18","2026-05-02","Per=Y","Days=T","Dir=V")</f>
        <v>0</v>
      </c>
      <c r="E2">
        <f>BDH("RRGB US Equity","SHORT_AND_LONG_TERM_DEBT","1993-06-18","2026-05-02","Per=Y","Days=T","Dir=V")</f>
        <v>0</v>
      </c>
      <c r="G2">
        <f>BDH("RRGB US Equity","BS_ST_BORROW","1993-06-18","2026-05-02","Per=Y","Days=T","Dir=V")</f>
        <v>0</v>
      </c>
      <c r="I2">
        <f>BDH("RRGB US Equity","BS_LT_BORROW","1993-06-18","2026-05-02","Per=Y","Days=T","Dir=V")</f>
        <v>0</v>
      </c>
      <c r="K2">
        <f>BDH("RRGB US Equity","BS_CASH_NEAR_CASH_ITEM","1993-06-18","2026-05-02","Per=Y","Days=T","Dir=V")</f>
        <v>0</v>
      </c>
      <c r="M2">
        <f>BDH("RRGB US Equity","BS_CUR_ASSET_REPORT","1993-06-18","2026-05-02","Per=Y","Days=T","Dir=V")</f>
        <v>0</v>
      </c>
      <c r="O2">
        <f>BDH("RRGB US Equity","BS_CUR_LIAB","1993-06-18","2026-05-02","Per=Y","Days=T","Dir=V")</f>
        <v>0</v>
      </c>
      <c r="Q2">
        <f>BDH("RRGB US Equity","BS_SHAREHOLDER_EQY_ENDING_PERIOD","1993-06-18","2026-05-02","Per=Y","Days=T","Dir=V")</f>
        <v>0</v>
      </c>
      <c r="S2">
        <f>BDH("RRGB US Equity","BS_ACCT_NOTE_RCV","1993-06-18","2026-05-02","Per=Y","Days=T","Dir=V")</f>
        <v>0</v>
      </c>
      <c r="U2">
        <f>BDH("RRGB US Equity","BS_INVENTORIES","1993-06-18","2026-05-02","Per=Y","Days=T","Dir=V")</f>
        <v>0</v>
      </c>
      <c r="W2">
        <f>BDH("RRGB US Equity","WORKING_CAPITAL","1993-06-18","2026-05-02","Per=Y","Days=T","Dir=V")</f>
        <v>0</v>
      </c>
      <c r="Y2">
        <f>BDH("RRGB US Equity","SALES_REV_TURN","1993-06-18","2026-05-02","Per=Y","Days=T","Dir=V")</f>
        <v>0</v>
      </c>
      <c r="AA2">
        <f>BDH("RRGB US Equity","EBIT","1993-06-18","2026-05-02","Per=Y","Days=T","Dir=V")</f>
        <v>0</v>
      </c>
      <c r="AC2">
        <f>BDH("RRGB US Equity","EBITDA","1993-06-18","2026-05-02","Per=Y","Days=T","Dir=V")</f>
        <v>0</v>
      </c>
      <c r="AE2">
        <f>BDH("RRGB US Equity","NET_INCOME","1993-06-18","2026-05-02","Per=Y","Days=T","Dir=V")</f>
        <v>0</v>
      </c>
      <c r="AG2">
        <f>BDH("RRGB US Equity","IS_INT_EXPENSE","1993-06-18","2026-05-02","Per=Y","Days=T","Dir=V")</f>
        <v>0</v>
      </c>
      <c r="AI2">
        <f>BDH("RRGB US Equity","IS_DEPR_EXP","1993-06-18","2026-05-02","Per=Y","Days=T","Dir=V")</f>
        <v>0</v>
      </c>
      <c r="AK2">
        <f>BDH("RRGB US Equity","CF_CASH_FROM_OPER","1993-06-18","2026-05-02","Per=Y","Days=T","Dir=V")</f>
        <v>0</v>
      </c>
      <c r="AM2">
        <f>BDH("RRGB US Equity","CAPITAL_EXPEND","1993-06-18","2026-05-02","Per=Y","Days=T","Dir=V")</f>
        <v>0</v>
      </c>
      <c r="AO2">
        <f>BDH("RRGB US Equity","CF_FREE_CASH_FLOW","1993-06-18","2026-05-02","Per=Y","Days=T","Dir=V")</f>
        <v>0</v>
      </c>
      <c r="AQ2">
        <f>BDH("RRGB US Equity","PX_LAST","1993-06-18","2026-05-02","Per=M","Days=T","Dir=V")</f>
        <v>0</v>
      </c>
      <c r="AS2">
        <f>BDH("RRGB US Equity","CUR_MKT_CAP","1993-06-18","2026-05-02","Per=M","Days=T","Dir=V")</f>
        <v>0</v>
      </c>
      <c r="AU2">
        <f>BDH("RRGB US Equity","EQY_SH_OUT","1993-06-18","2026-05-02","Per=M","Days=T","Dir=V")</f>
        <v>0</v>
      </c>
      <c r="AW2">
        <f>BDH("RRGB US Equity","PX_VOLUME","1993-06-18","2026-05-02","Per=M","Days=T","Dir=V")</f>
        <v>0</v>
      </c>
      <c r="AY2">
        <f>BDH("RRGB US Equity","TURNOVER","1993-06-18","2026-05-02","Per=M","Days=T","Dir=V")</f>
        <v>0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BDH("RRR US Equity","BS_TOT_ASSET","1993-06-18","2026-05-02","Per=Y","Days=T","Dir=V")</f>
        <v>0</v>
      </c>
      <c r="C2">
        <f>BDH("RRR US Equity","BS_TOT_LIAB2","1993-06-18","2026-05-02","Per=Y","Days=T","Dir=V")</f>
        <v>0</v>
      </c>
      <c r="E2">
        <f>BDH("RRR US Equity","SHORT_AND_LONG_TERM_DEBT","1993-06-18","2026-05-02","Per=Y","Days=T","Dir=V")</f>
        <v>0</v>
      </c>
      <c r="G2">
        <f>BDH("RRR US Equity","BS_ST_BORROW","1993-06-18","2026-05-02","Per=Y","Days=T","Dir=V")</f>
        <v>0</v>
      </c>
      <c r="I2">
        <f>BDH("RRR US Equity","BS_LT_BORROW","1993-06-18","2026-05-02","Per=Y","Days=T","Dir=V")</f>
        <v>0</v>
      </c>
      <c r="K2">
        <f>BDH("RRR US Equity","BS_CASH_NEAR_CASH_ITEM","1993-06-18","2026-05-02","Per=Y","Days=T","Dir=V")</f>
        <v>0</v>
      </c>
      <c r="M2">
        <f>BDH("RRR US Equity","BS_CUR_ASSET_REPORT","1993-06-18","2026-05-02","Per=Y","Days=T","Dir=V")</f>
        <v>0</v>
      </c>
      <c r="O2">
        <f>BDH("RRR US Equity","BS_CUR_LIAB","1993-06-18","2026-05-02","Per=Y","Days=T","Dir=V")</f>
        <v>0</v>
      </c>
      <c r="Q2">
        <f>BDH("RRR US Equity","BS_SHAREHOLDER_EQY_ENDING_PERIOD","1993-06-18","2026-05-02","Per=Y","Days=T","Dir=V")</f>
        <v>0</v>
      </c>
      <c r="S2">
        <f>BDH("RRR US Equity","BS_ACCT_NOTE_RCV","1993-06-18","2026-05-02","Per=Y","Days=T","Dir=V")</f>
        <v>0</v>
      </c>
      <c r="U2">
        <f>BDH("RRR US Equity","BS_INVENTORIES","1993-06-18","2026-05-02","Per=Y","Days=T","Dir=V")</f>
        <v>0</v>
      </c>
      <c r="W2">
        <f>BDH("RRR US Equity","WORKING_CAPITAL","1993-06-18","2026-05-02","Per=Y","Days=T","Dir=V")</f>
        <v>0</v>
      </c>
      <c r="Y2">
        <f>BDH("RRR US Equity","SALES_REV_TURN","1993-06-18","2026-05-02","Per=Y","Days=T","Dir=V")</f>
        <v>0</v>
      </c>
      <c r="AA2">
        <f>BDH("RRR US Equity","EBIT","1993-06-18","2026-05-02","Per=Y","Days=T","Dir=V")</f>
        <v>0</v>
      </c>
      <c r="AC2">
        <f>BDH("RRR US Equity","EBITDA","1993-06-18","2026-05-02","Per=Y","Days=T","Dir=V")</f>
        <v>0</v>
      </c>
      <c r="AE2">
        <f>BDH("RRR US Equity","NET_INCOME","1993-06-18","2026-05-02","Per=Y","Days=T","Dir=V")</f>
        <v>0</v>
      </c>
      <c r="AG2">
        <f>BDH("RRR US Equity","IS_INT_EXPENSE","1993-06-18","2026-05-02","Per=Y","Days=T","Dir=V")</f>
        <v>0</v>
      </c>
      <c r="AI2">
        <f>BDH("RRR US Equity","IS_DEPR_EXP","1993-06-18","2026-05-02","Per=Y","Days=T","Dir=V")</f>
        <v>0</v>
      </c>
      <c r="AK2">
        <f>BDH("RRR US Equity","CF_CASH_FROM_OPER","1993-06-18","2026-05-02","Per=Y","Days=T","Dir=V")</f>
        <v>0</v>
      </c>
      <c r="AM2">
        <f>BDH("RRR US Equity","CAPITAL_EXPEND","1993-06-18","2026-05-02","Per=Y","Days=T","Dir=V")</f>
        <v>0</v>
      </c>
      <c r="AO2">
        <f>BDH("RRR US Equity","CF_FREE_CASH_FLOW","1993-06-18","2026-05-02","Per=Y","Days=T","Dir=V")</f>
        <v>0</v>
      </c>
      <c r="AQ2">
        <f>BDH("RRR US Equity","PX_LAST","1993-06-18","2026-05-02","Per=M","Days=T","Dir=V")</f>
        <v>0</v>
      </c>
      <c r="AS2">
        <f>BDH("RRR US Equity","CUR_MKT_CAP","1993-06-18","2026-05-02","Per=M","Days=T","Dir=V")</f>
        <v>0</v>
      </c>
      <c r="AU2">
        <f>BDH("RRR US Equity","EQY_SH_OUT","1993-06-18","2026-05-02","Per=M","Days=T","Dir=V")</f>
        <v>0</v>
      </c>
      <c r="AW2">
        <f>BDH("RRR US Equity","PX_VOLUME","1993-06-18","2026-05-02","Per=M","Days=T","Dir=V")</f>
        <v>0</v>
      </c>
      <c r="AY2">
        <f>BDH("RRR US Equity","TURNOVER","1993-06-18","2026-05-02","Per=M","Days=T","Dir=V")</f>
        <v>0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BDH("RRX US Equity","BS_TOT_ASSET","1993-06-18","2026-05-02","Per=Y","Days=T","Dir=V")</f>
        <v>0</v>
      </c>
      <c r="C2">
        <f>BDH("RRX US Equity","BS_TOT_LIAB2","1993-06-18","2026-05-02","Per=Y","Days=T","Dir=V")</f>
        <v>0</v>
      </c>
      <c r="E2">
        <f>BDH("RRX US Equity","SHORT_AND_LONG_TERM_DEBT","1993-06-18","2026-05-02","Per=Y","Days=T","Dir=V")</f>
        <v>0</v>
      </c>
      <c r="G2">
        <f>BDH("RRX US Equity","BS_ST_BORROW","1993-06-18","2026-05-02","Per=Y","Days=T","Dir=V")</f>
        <v>0</v>
      </c>
      <c r="I2">
        <f>BDH("RRX US Equity","BS_LT_BORROW","1993-06-18","2026-05-02","Per=Y","Days=T","Dir=V")</f>
        <v>0</v>
      </c>
      <c r="K2">
        <f>BDH("RRX US Equity","BS_CASH_NEAR_CASH_ITEM","1993-06-18","2026-05-02","Per=Y","Days=T","Dir=V")</f>
        <v>0</v>
      </c>
      <c r="M2">
        <f>BDH("RRX US Equity","BS_CUR_ASSET_REPORT","1993-06-18","2026-05-02","Per=Y","Days=T","Dir=V")</f>
        <v>0</v>
      </c>
      <c r="O2">
        <f>BDH("RRX US Equity","BS_CUR_LIAB","1993-06-18","2026-05-02","Per=Y","Days=T","Dir=V")</f>
        <v>0</v>
      </c>
      <c r="Q2">
        <f>BDH("RRX US Equity","BS_SHAREHOLDER_EQY_ENDING_PERIOD","1993-06-18","2026-05-02","Per=Y","Days=T","Dir=V")</f>
        <v>0</v>
      </c>
      <c r="S2">
        <f>BDH("RRX US Equity","BS_ACCT_NOTE_RCV","1993-06-18","2026-05-02","Per=Y","Days=T","Dir=V")</f>
        <v>0</v>
      </c>
      <c r="U2">
        <f>BDH("RRX US Equity","BS_INVENTORIES","1993-06-18","2026-05-02","Per=Y","Days=T","Dir=V")</f>
        <v>0</v>
      </c>
      <c r="W2">
        <f>BDH("RRX US Equity","WORKING_CAPITAL","1993-06-18","2026-05-02","Per=Y","Days=T","Dir=V")</f>
        <v>0</v>
      </c>
      <c r="Y2">
        <f>BDH("RRX US Equity","SALES_REV_TURN","1993-06-18","2026-05-02","Per=Y","Days=T","Dir=V")</f>
        <v>0</v>
      </c>
      <c r="AA2">
        <f>BDH("RRX US Equity","EBIT","1993-06-18","2026-05-02","Per=Y","Days=T","Dir=V")</f>
        <v>0</v>
      </c>
      <c r="AC2">
        <f>BDH("RRX US Equity","EBITDA","1993-06-18","2026-05-02","Per=Y","Days=T","Dir=V")</f>
        <v>0</v>
      </c>
      <c r="AE2">
        <f>BDH("RRX US Equity","NET_INCOME","1993-06-18","2026-05-02","Per=Y","Days=T","Dir=V")</f>
        <v>0</v>
      </c>
      <c r="AG2">
        <f>BDH("RRX US Equity","IS_INT_EXPENSE","1993-06-18","2026-05-02","Per=Y","Days=T","Dir=V")</f>
        <v>0</v>
      </c>
      <c r="AI2">
        <f>BDH("RRX US Equity","IS_DEPR_EXP","1993-06-18","2026-05-02","Per=Y","Days=T","Dir=V")</f>
        <v>0</v>
      </c>
      <c r="AK2">
        <f>BDH("RRX US Equity","CF_CASH_FROM_OPER","1993-06-18","2026-05-02","Per=Y","Days=T","Dir=V")</f>
        <v>0</v>
      </c>
      <c r="AM2">
        <f>BDH("RRX US Equity","CAPITAL_EXPEND","1993-06-18","2026-05-02","Per=Y","Days=T","Dir=V")</f>
        <v>0</v>
      </c>
      <c r="AO2">
        <f>BDH("RRX US Equity","CF_FREE_CASH_FLOW","1993-06-18","2026-05-02","Per=Y","Days=T","Dir=V")</f>
        <v>0</v>
      </c>
      <c r="AQ2">
        <f>BDH("RRX US Equity","PX_LAST","1993-06-18","2026-05-02","Per=M","Days=T","Dir=V")</f>
        <v>0</v>
      </c>
      <c r="AS2">
        <f>BDH("RRX US Equity","CUR_MKT_CAP","1993-06-18","2026-05-02","Per=M","Days=T","Dir=V")</f>
        <v>0</v>
      </c>
      <c r="AU2">
        <f>BDH("RRX US Equity","EQY_SH_OUT","1993-06-18","2026-05-02","Per=M","Days=T","Dir=V")</f>
        <v>0</v>
      </c>
      <c r="AW2">
        <f>BDH("RRX US Equity","PX_VOLUME","1993-06-18","2026-05-02","Per=M","Days=T","Dir=V")</f>
        <v>0</v>
      </c>
      <c r="AY2">
        <f>BDH("RRX US Equity","TURNOVER","1993-06-18","2026-05-02","Per=M","Days=T","Dir=V")</f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BDH("RS US Equity","BS_TOT_ASSET","1993-06-18","2026-05-02","Per=Y","Days=T","Dir=V")</f>
        <v>0</v>
      </c>
      <c r="C2">
        <f>BDH("RS US Equity","BS_TOT_LIAB2","1993-06-18","2026-05-02","Per=Y","Days=T","Dir=V")</f>
        <v>0</v>
      </c>
      <c r="E2">
        <f>BDH("RS US Equity","SHORT_AND_LONG_TERM_DEBT","1993-06-18","2026-05-02","Per=Y","Days=T","Dir=V")</f>
        <v>0</v>
      </c>
      <c r="G2">
        <f>BDH("RS US Equity","BS_ST_BORROW","1993-06-18","2026-05-02","Per=Y","Days=T","Dir=V")</f>
        <v>0</v>
      </c>
      <c r="I2">
        <f>BDH("RS US Equity","BS_LT_BORROW","1993-06-18","2026-05-02","Per=Y","Days=T","Dir=V")</f>
        <v>0</v>
      </c>
      <c r="K2">
        <f>BDH("RS US Equity","BS_CASH_NEAR_CASH_ITEM","1993-06-18","2026-05-02","Per=Y","Days=T","Dir=V")</f>
        <v>0</v>
      </c>
      <c r="M2">
        <f>BDH("RS US Equity","BS_CUR_ASSET_REPORT","1993-06-18","2026-05-02","Per=Y","Days=T","Dir=V")</f>
        <v>0</v>
      </c>
      <c r="O2">
        <f>BDH("RS US Equity","BS_CUR_LIAB","1993-06-18","2026-05-02","Per=Y","Days=T","Dir=V")</f>
        <v>0</v>
      </c>
      <c r="Q2">
        <f>BDH("RS US Equity","BS_SHAREHOLDER_EQY_ENDING_PERIOD","1993-06-18","2026-05-02","Per=Y","Days=T","Dir=V")</f>
        <v>0</v>
      </c>
      <c r="S2">
        <f>BDH("RS US Equity","BS_ACCT_NOTE_RCV","1993-06-18","2026-05-02","Per=Y","Days=T","Dir=V")</f>
        <v>0</v>
      </c>
      <c r="U2">
        <f>BDH("RS US Equity","BS_INVENTORIES","1993-06-18","2026-05-02","Per=Y","Days=T","Dir=V")</f>
        <v>0</v>
      </c>
      <c r="W2">
        <f>BDH("RS US Equity","WORKING_CAPITAL","1993-06-18","2026-05-02","Per=Y","Days=T","Dir=V")</f>
        <v>0</v>
      </c>
      <c r="Y2">
        <f>BDH("RS US Equity","SALES_REV_TURN","1993-06-18","2026-05-02","Per=Y","Days=T","Dir=V")</f>
        <v>0</v>
      </c>
      <c r="AA2">
        <f>BDH("RS US Equity","EBIT","1993-06-18","2026-05-02","Per=Y","Days=T","Dir=V")</f>
        <v>0</v>
      </c>
      <c r="AC2">
        <f>BDH("RS US Equity","EBITDA","1993-06-18","2026-05-02","Per=Y","Days=T","Dir=V")</f>
        <v>0</v>
      </c>
      <c r="AE2">
        <f>BDH("RS US Equity","NET_INCOME","1993-06-18","2026-05-02","Per=Y","Days=T","Dir=V")</f>
        <v>0</v>
      </c>
      <c r="AG2">
        <f>BDH("RS US Equity","IS_INT_EXPENSE","1993-06-18","2026-05-02","Per=Y","Days=T","Dir=V")</f>
        <v>0</v>
      </c>
      <c r="AI2">
        <f>BDH("RS US Equity","IS_DEPR_EXP","1993-06-18","2026-05-02","Per=Y","Days=T","Dir=V")</f>
        <v>0</v>
      </c>
      <c r="AK2">
        <f>BDH("RS US Equity","CF_CASH_FROM_OPER","1993-06-18","2026-05-02","Per=Y","Days=T","Dir=V")</f>
        <v>0</v>
      </c>
      <c r="AM2">
        <f>BDH("RS US Equity","CAPITAL_EXPEND","1993-06-18","2026-05-02","Per=Y","Days=T","Dir=V")</f>
        <v>0</v>
      </c>
      <c r="AO2">
        <f>BDH("RS US Equity","CF_FREE_CASH_FLOW","1993-06-18","2026-05-02","Per=Y","Days=T","Dir=V")</f>
        <v>0</v>
      </c>
      <c r="AQ2">
        <f>BDH("RS US Equity","PX_LAST","1993-06-18","2026-05-02","Per=M","Days=T","Dir=V")</f>
        <v>0</v>
      </c>
      <c r="AS2">
        <f>BDH("RS US Equity","CUR_MKT_CAP","1993-06-18","2026-05-02","Per=M","Days=T","Dir=V")</f>
        <v>0</v>
      </c>
      <c r="AU2">
        <f>BDH("RS US Equity","EQY_SH_OUT","1993-06-18","2026-05-02","Per=M","Days=T","Dir=V")</f>
        <v>0</v>
      </c>
      <c r="AW2">
        <f>BDH("RS US Equity","PX_VOLUME","1993-06-18","2026-05-02","Per=M","Days=T","Dir=V")</f>
        <v>0</v>
      </c>
      <c r="AY2">
        <f>BDH("RS US Equity","TURNOVER","1993-06-18","2026-05-02","Per=M","Days=T","Dir=V")</f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BDH("RSG US Equity","BS_TOT_ASSET","1993-06-18","2026-05-02","Per=Y","Days=T","Dir=V")</f>
        <v>0</v>
      </c>
      <c r="C2">
        <f>BDH("RSG US Equity","BS_TOT_LIAB2","1993-06-18","2026-05-02","Per=Y","Days=T","Dir=V")</f>
        <v>0</v>
      </c>
      <c r="E2">
        <f>BDH("RSG US Equity","SHORT_AND_LONG_TERM_DEBT","1993-06-18","2026-05-02","Per=Y","Days=T","Dir=V")</f>
        <v>0</v>
      </c>
      <c r="G2">
        <f>BDH("RSG US Equity","BS_ST_BORROW","1993-06-18","2026-05-02","Per=Y","Days=T","Dir=V")</f>
        <v>0</v>
      </c>
      <c r="I2">
        <f>BDH("RSG US Equity","BS_LT_BORROW","1993-06-18","2026-05-02","Per=Y","Days=T","Dir=V")</f>
        <v>0</v>
      </c>
      <c r="K2">
        <f>BDH("RSG US Equity","BS_CASH_NEAR_CASH_ITEM","1993-06-18","2026-05-02","Per=Y","Days=T","Dir=V")</f>
        <v>0</v>
      </c>
      <c r="M2">
        <f>BDH("RSG US Equity","BS_CUR_ASSET_REPORT","1993-06-18","2026-05-02","Per=Y","Days=T","Dir=V")</f>
        <v>0</v>
      </c>
      <c r="O2">
        <f>BDH("RSG US Equity","BS_CUR_LIAB","1993-06-18","2026-05-02","Per=Y","Days=T","Dir=V")</f>
        <v>0</v>
      </c>
      <c r="Q2">
        <f>BDH("RSG US Equity","BS_SHAREHOLDER_EQY_ENDING_PERIOD","1993-06-18","2026-05-02","Per=Y","Days=T","Dir=V")</f>
        <v>0</v>
      </c>
      <c r="S2">
        <f>BDH("RSG US Equity","BS_ACCT_NOTE_RCV","1993-06-18","2026-05-02","Per=Y","Days=T","Dir=V")</f>
        <v>0</v>
      </c>
      <c r="U2">
        <f>BDH("RSG US Equity","BS_INVENTORIES","1993-06-18","2026-05-02","Per=Y","Days=T","Dir=V")</f>
        <v>0</v>
      </c>
      <c r="W2">
        <f>BDH("RSG US Equity","WORKING_CAPITAL","1993-06-18","2026-05-02","Per=Y","Days=T","Dir=V")</f>
        <v>0</v>
      </c>
      <c r="Y2">
        <f>BDH("RSG US Equity","SALES_REV_TURN","1993-06-18","2026-05-02","Per=Y","Days=T","Dir=V")</f>
        <v>0</v>
      </c>
      <c r="AA2">
        <f>BDH("RSG US Equity","EBIT","1993-06-18","2026-05-02","Per=Y","Days=T","Dir=V")</f>
        <v>0</v>
      </c>
      <c r="AC2">
        <f>BDH("RSG US Equity","EBITDA","1993-06-18","2026-05-02","Per=Y","Days=T","Dir=V")</f>
        <v>0</v>
      </c>
      <c r="AE2">
        <f>BDH("RSG US Equity","NET_INCOME","1993-06-18","2026-05-02","Per=Y","Days=T","Dir=V")</f>
        <v>0</v>
      </c>
      <c r="AG2">
        <f>BDH("RSG US Equity","IS_INT_EXPENSE","1993-06-18","2026-05-02","Per=Y","Days=T","Dir=V")</f>
        <v>0</v>
      </c>
      <c r="AI2">
        <f>BDH("RSG US Equity","IS_DEPR_EXP","1993-06-18","2026-05-02","Per=Y","Days=T","Dir=V")</f>
        <v>0</v>
      </c>
      <c r="AK2">
        <f>BDH("RSG US Equity","CF_CASH_FROM_OPER","1993-06-18","2026-05-02","Per=Y","Days=T","Dir=V")</f>
        <v>0</v>
      </c>
      <c r="AM2">
        <f>BDH("RSG US Equity","CAPITAL_EXPEND","1993-06-18","2026-05-02","Per=Y","Days=T","Dir=V")</f>
        <v>0</v>
      </c>
      <c r="AO2">
        <f>BDH("RSG US Equity","CF_FREE_CASH_FLOW","1993-06-18","2026-05-02","Per=Y","Days=T","Dir=V")</f>
        <v>0</v>
      </c>
      <c r="AQ2">
        <f>BDH("RSG US Equity","PX_LAST","1993-06-18","2026-05-02","Per=M","Days=T","Dir=V")</f>
        <v>0</v>
      </c>
      <c r="AS2">
        <f>BDH("RSG US Equity","CUR_MKT_CAP","1993-06-18","2026-05-02","Per=M","Days=T","Dir=V")</f>
        <v>0</v>
      </c>
      <c r="AU2">
        <f>BDH("RSG US Equity","EQY_SH_OUT","1993-06-18","2026-05-02","Per=M","Days=T","Dir=V")</f>
        <v>0</v>
      </c>
      <c r="AW2">
        <f>BDH("RSG US Equity","PX_VOLUME","1993-06-18","2026-05-02","Per=M","Days=T","Dir=V")</f>
        <v>0</v>
      </c>
      <c r="AY2">
        <f>BDH("RSG US Equity","TURNOVER","1993-06-18","2026-05-02","Per=M","Days=T","Dir=V")</f>
        <v>0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BDH("RSI US Equity","BS_TOT_ASSET","1993-06-18","2026-05-02","Per=Y","Days=T","Dir=V")</f>
        <v>0</v>
      </c>
      <c r="C2">
        <f>BDH("RSI US Equity","BS_TOT_LIAB2","1993-06-18","2026-05-02","Per=Y","Days=T","Dir=V")</f>
        <v>0</v>
      </c>
      <c r="E2">
        <f>BDH("RSI US Equity","SHORT_AND_LONG_TERM_DEBT","1993-06-18","2026-05-02","Per=Y","Days=T","Dir=V")</f>
        <v>0</v>
      </c>
      <c r="G2">
        <f>BDH("RSI US Equity","BS_ST_BORROW","1993-06-18","2026-05-02","Per=Y","Days=T","Dir=V")</f>
        <v>0</v>
      </c>
      <c r="I2">
        <f>BDH("RSI US Equity","BS_LT_BORROW","1993-06-18","2026-05-02","Per=Y","Days=T","Dir=V")</f>
        <v>0</v>
      </c>
      <c r="K2">
        <f>BDH("RSI US Equity","BS_CASH_NEAR_CASH_ITEM","1993-06-18","2026-05-02","Per=Y","Days=T","Dir=V")</f>
        <v>0</v>
      </c>
      <c r="M2">
        <f>BDH("RSI US Equity","BS_CUR_ASSET_REPORT","1993-06-18","2026-05-02","Per=Y","Days=T","Dir=V")</f>
        <v>0</v>
      </c>
      <c r="O2">
        <f>BDH("RSI US Equity","BS_CUR_LIAB","1993-06-18","2026-05-02","Per=Y","Days=T","Dir=V")</f>
        <v>0</v>
      </c>
      <c r="Q2">
        <f>BDH("RSI US Equity","BS_SHAREHOLDER_EQY_ENDING_PERIOD","1993-06-18","2026-05-02","Per=Y","Days=T","Dir=V")</f>
        <v>0</v>
      </c>
      <c r="S2">
        <f>BDH("RSI US Equity","BS_ACCT_NOTE_RCV","1993-06-18","2026-05-02","Per=Y","Days=T","Dir=V")</f>
        <v>0</v>
      </c>
      <c r="U2">
        <f>BDH("RSI US Equity","BS_INVENTORIES","1993-06-18","2026-05-02","Per=Y","Days=T","Dir=V")</f>
        <v>0</v>
      </c>
      <c r="W2">
        <f>BDH("RSI US Equity","WORKING_CAPITAL","1993-06-18","2026-05-02","Per=Y","Days=T","Dir=V")</f>
        <v>0</v>
      </c>
      <c r="Y2">
        <f>BDH("RSI US Equity","SALES_REV_TURN","1993-06-18","2026-05-02","Per=Y","Days=T","Dir=V")</f>
        <v>0</v>
      </c>
      <c r="AA2">
        <f>BDH("RSI US Equity","EBIT","1993-06-18","2026-05-02","Per=Y","Days=T","Dir=V")</f>
        <v>0</v>
      </c>
      <c r="AC2">
        <f>BDH("RSI US Equity","EBITDA","1993-06-18","2026-05-02","Per=Y","Days=T","Dir=V")</f>
        <v>0</v>
      </c>
      <c r="AE2">
        <f>BDH("RSI US Equity","NET_INCOME","1993-06-18","2026-05-02","Per=Y","Days=T","Dir=V")</f>
        <v>0</v>
      </c>
      <c r="AG2">
        <f>BDH("RSI US Equity","IS_INT_EXPENSE","1993-06-18","2026-05-02","Per=Y","Days=T","Dir=V")</f>
        <v>0</v>
      </c>
      <c r="AI2">
        <f>BDH("RSI US Equity","IS_DEPR_EXP","1993-06-18","2026-05-02","Per=Y","Days=T","Dir=V")</f>
        <v>0</v>
      </c>
      <c r="AK2">
        <f>BDH("RSI US Equity","CF_CASH_FROM_OPER","1993-06-18","2026-05-02","Per=Y","Days=T","Dir=V")</f>
        <v>0</v>
      </c>
      <c r="AM2">
        <f>BDH("RSI US Equity","CAPITAL_EXPEND","1993-06-18","2026-05-02","Per=Y","Days=T","Dir=V")</f>
        <v>0</v>
      </c>
      <c r="AO2">
        <f>BDH("RSI US Equity","CF_FREE_CASH_FLOW","1993-06-18","2026-05-02","Per=Y","Days=T","Dir=V")</f>
        <v>0</v>
      </c>
      <c r="AQ2">
        <f>BDH("RSI US Equity","PX_LAST","1993-06-18","2026-05-02","Per=M","Days=T","Dir=V")</f>
        <v>0</v>
      </c>
      <c r="AS2">
        <f>BDH("RSI US Equity","CUR_MKT_CAP","1993-06-18","2026-05-02","Per=M","Days=T","Dir=V")</f>
        <v>0</v>
      </c>
      <c r="AU2">
        <f>BDH("RSI US Equity","EQY_SH_OUT","1993-06-18","2026-05-02","Per=M","Days=T","Dir=V")</f>
        <v>0</v>
      </c>
      <c r="AW2">
        <f>BDH("RSI US Equity","PX_VOLUME","1993-06-18","2026-05-02","Per=M","Days=T","Dir=V")</f>
        <v>0</v>
      </c>
      <c r="AY2">
        <f>BDH("RSI US Equity","TURNOVER","1993-06-18","2026-05-02","Per=M","Days=T","Dir=V")</f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BDH("RSSS US Equity","BS_TOT_ASSET","1993-06-18","2026-05-02","Per=Y","Days=T","Dir=V")</f>
        <v>0</v>
      </c>
      <c r="C2">
        <f>BDH("RSSS US Equity","BS_TOT_LIAB2","1993-06-18","2026-05-02","Per=Y","Days=T","Dir=V")</f>
        <v>0</v>
      </c>
      <c r="E2">
        <f>BDH("RSSS US Equity","SHORT_AND_LONG_TERM_DEBT","1993-06-18","2026-05-02","Per=Y","Days=T","Dir=V")</f>
        <v>0</v>
      </c>
      <c r="G2">
        <f>BDH("RSSS US Equity","BS_ST_BORROW","1993-06-18","2026-05-02","Per=Y","Days=T","Dir=V")</f>
        <v>0</v>
      </c>
      <c r="I2">
        <f>BDH("RSSS US Equity","BS_LT_BORROW","1993-06-18","2026-05-02","Per=Y","Days=T","Dir=V")</f>
        <v>0</v>
      </c>
      <c r="K2">
        <f>BDH("RSSS US Equity","BS_CASH_NEAR_CASH_ITEM","1993-06-18","2026-05-02","Per=Y","Days=T","Dir=V")</f>
        <v>0</v>
      </c>
      <c r="M2">
        <f>BDH("RSSS US Equity","BS_CUR_ASSET_REPORT","1993-06-18","2026-05-02","Per=Y","Days=T","Dir=V")</f>
        <v>0</v>
      </c>
      <c r="O2">
        <f>BDH("RSSS US Equity","BS_CUR_LIAB","1993-06-18","2026-05-02","Per=Y","Days=T","Dir=V")</f>
        <v>0</v>
      </c>
      <c r="Q2">
        <f>BDH("RSSS US Equity","BS_SHAREHOLDER_EQY_ENDING_PERIOD","1993-06-18","2026-05-02","Per=Y","Days=T","Dir=V")</f>
        <v>0</v>
      </c>
      <c r="S2">
        <f>BDH("RSSS US Equity","BS_ACCT_NOTE_RCV","1993-06-18","2026-05-02","Per=Y","Days=T","Dir=V")</f>
        <v>0</v>
      </c>
      <c r="U2">
        <f>BDH("RSSS US Equity","BS_INVENTORIES","1993-06-18","2026-05-02","Per=Y","Days=T","Dir=V")</f>
        <v>0</v>
      </c>
      <c r="W2">
        <f>BDH("RSSS US Equity","WORKING_CAPITAL","1993-06-18","2026-05-02","Per=Y","Days=T","Dir=V")</f>
        <v>0</v>
      </c>
      <c r="Y2">
        <f>BDH("RSSS US Equity","SALES_REV_TURN","1993-06-18","2026-05-02","Per=Y","Days=T","Dir=V")</f>
        <v>0</v>
      </c>
      <c r="AA2">
        <f>BDH("RSSS US Equity","EBIT","1993-06-18","2026-05-02","Per=Y","Days=T","Dir=V")</f>
        <v>0</v>
      </c>
      <c r="AC2">
        <f>BDH("RSSS US Equity","EBITDA","1993-06-18","2026-05-02","Per=Y","Days=T","Dir=V")</f>
        <v>0</v>
      </c>
      <c r="AE2">
        <f>BDH("RSSS US Equity","NET_INCOME","1993-06-18","2026-05-02","Per=Y","Days=T","Dir=V")</f>
        <v>0</v>
      </c>
      <c r="AG2">
        <f>BDH("RSSS US Equity","IS_INT_EXPENSE","1993-06-18","2026-05-02","Per=Y","Days=T","Dir=V")</f>
        <v>0</v>
      </c>
      <c r="AI2">
        <f>BDH("RSSS US Equity","IS_DEPR_EXP","1993-06-18","2026-05-02","Per=Y","Days=T","Dir=V")</f>
        <v>0</v>
      </c>
      <c r="AK2">
        <f>BDH("RSSS US Equity","CF_CASH_FROM_OPER","1993-06-18","2026-05-02","Per=Y","Days=T","Dir=V")</f>
        <v>0</v>
      </c>
      <c r="AM2">
        <f>BDH("RSSS US Equity","CAPITAL_EXPEND","1993-06-18","2026-05-02","Per=Y","Days=T","Dir=V")</f>
        <v>0</v>
      </c>
      <c r="AO2">
        <f>BDH("RSSS US Equity","CF_FREE_CASH_FLOW","1993-06-18","2026-05-02","Per=Y","Days=T","Dir=V")</f>
        <v>0</v>
      </c>
      <c r="AQ2">
        <f>BDH("RSSS US Equity","PX_LAST","1993-06-18","2026-05-02","Per=M","Days=T","Dir=V")</f>
        <v>0</v>
      </c>
      <c r="AS2">
        <f>BDH("RSSS US Equity","CUR_MKT_CAP","1993-06-18","2026-05-02","Per=M","Days=T","Dir=V")</f>
        <v>0</v>
      </c>
      <c r="AU2">
        <f>BDH("RSSS US Equity","EQY_SH_OUT","1993-06-18","2026-05-02","Per=M","Days=T","Dir=V")</f>
        <v>0</v>
      </c>
      <c r="AW2">
        <f>BDH("RSSS US Equity","PX_VOLUME","1993-06-18","2026-05-02","Per=M","Days=T","Dir=V")</f>
        <v>0</v>
      </c>
      <c r="AY2">
        <f>BDH("RSSS US Equity","TURNOVER","1993-06-18","2026-05-02","Per=M","Days=T","Dir=V")</f>
        <v>0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BDH("RSVR US Equity","BS_TOT_ASSET","1993-06-18","2026-05-02","Per=Y","Days=T","Dir=V")</f>
        <v>0</v>
      </c>
      <c r="C2">
        <f>BDH("RSVR US Equity","BS_TOT_LIAB2","1993-06-18","2026-05-02","Per=Y","Days=T","Dir=V")</f>
        <v>0</v>
      </c>
      <c r="E2">
        <f>BDH("RSVR US Equity","SHORT_AND_LONG_TERM_DEBT","1993-06-18","2026-05-02","Per=Y","Days=T","Dir=V")</f>
        <v>0</v>
      </c>
      <c r="G2">
        <f>BDH("RSVR US Equity","BS_ST_BORROW","1993-06-18","2026-05-02","Per=Y","Days=T","Dir=V")</f>
        <v>0</v>
      </c>
      <c r="I2">
        <f>BDH("RSVR US Equity","BS_LT_BORROW","1993-06-18","2026-05-02","Per=Y","Days=T","Dir=V")</f>
        <v>0</v>
      </c>
      <c r="K2">
        <f>BDH("RSVR US Equity","BS_CASH_NEAR_CASH_ITEM","1993-06-18","2026-05-02","Per=Y","Days=T","Dir=V")</f>
        <v>0</v>
      </c>
      <c r="M2">
        <f>BDH("RSVR US Equity","BS_CUR_ASSET_REPORT","1993-06-18","2026-05-02","Per=Y","Days=T","Dir=V")</f>
        <v>0</v>
      </c>
      <c r="O2">
        <f>BDH("RSVR US Equity","BS_CUR_LIAB","1993-06-18","2026-05-02","Per=Y","Days=T","Dir=V")</f>
        <v>0</v>
      </c>
      <c r="Q2">
        <f>BDH("RSVR US Equity","BS_SHAREHOLDER_EQY_ENDING_PERIOD","1993-06-18","2026-05-02","Per=Y","Days=T","Dir=V")</f>
        <v>0</v>
      </c>
      <c r="S2">
        <f>BDH("RSVR US Equity","BS_ACCT_NOTE_RCV","1993-06-18","2026-05-02","Per=Y","Days=T","Dir=V")</f>
        <v>0</v>
      </c>
      <c r="U2">
        <f>BDH("RSVR US Equity","BS_INVENTORIES","1993-06-18","2026-05-02","Per=Y","Days=T","Dir=V")</f>
        <v>0</v>
      </c>
      <c r="W2">
        <f>BDH("RSVR US Equity","WORKING_CAPITAL","1993-06-18","2026-05-02","Per=Y","Days=T","Dir=V")</f>
        <v>0</v>
      </c>
      <c r="Y2">
        <f>BDH("RSVR US Equity","SALES_REV_TURN","1993-06-18","2026-05-02","Per=Y","Days=T","Dir=V")</f>
        <v>0</v>
      </c>
      <c r="AA2">
        <f>BDH("RSVR US Equity","EBIT","1993-06-18","2026-05-02","Per=Y","Days=T","Dir=V")</f>
        <v>0</v>
      </c>
      <c r="AC2">
        <f>BDH("RSVR US Equity","EBITDA","1993-06-18","2026-05-02","Per=Y","Days=T","Dir=V")</f>
        <v>0</v>
      </c>
      <c r="AE2">
        <f>BDH("RSVR US Equity","NET_INCOME","1993-06-18","2026-05-02","Per=Y","Days=T","Dir=V")</f>
        <v>0</v>
      </c>
      <c r="AG2">
        <f>BDH("RSVR US Equity","IS_INT_EXPENSE","1993-06-18","2026-05-02","Per=Y","Days=T","Dir=V")</f>
        <v>0</v>
      </c>
      <c r="AI2">
        <f>BDH("RSVR US Equity","IS_DEPR_EXP","1993-06-18","2026-05-02","Per=Y","Days=T","Dir=V")</f>
        <v>0</v>
      </c>
      <c r="AK2">
        <f>BDH("RSVR US Equity","CF_CASH_FROM_OPER","1993-06-18","2026-05-02","Per=Y","Days=T","Dir=V")</f>
        <v>0</v>
      </c>
      <c r="AM2">
        <f>BDH("RSVR US Equity","CAPITAL_EXPEND","1993-06-18","2026-05-02","Per=Y","Days=T","Dir=V")</f>
        <v>0</v>
      </c>
      <c r="AO2">
        <f>BDH("RSVR US Equity","CF_FREE_CASH_FLOW","1993-06-18","2026-05-02","Per=Y","Days=T","Dir=V")</f>
        <v>0</v>
      </c>
      <c r="AQ2">
        <f>BDH("RSVR US Equity","PX_LAST","1993-06-18","2026-05-02","Per=M","Days=T","Dir=V")</f>
        <v>0</v>
      </c>
      <c r="AS2">
        <f>BDH("RSVR US Equity","CUR_MKT_CAP","1993-06-18","2026-05-02","Per=M","Days=T","Dir=V")</f>
        <v>0</v>
      </c>
      <c r="AU2">
        <f>BDH("RSVR US Equity","EQY_SH_OUT","1993-06-18","2026-05-02","Per=M","Days=T","Dir=V")</f>
        <v>0</v>
      </c>
      <c r="AW2">
        <f>BDH("RSVR US Equity","PX_VOLUME","1993-06-18","2026-05-02","Per=M","Days=T","Dir=V")</f>
        <v>0</v>
      </c>
      <c r="AY2">
        <f>BDH("RSVR US Equity","TURNOVER","1993-06-18","2026-05-02","Per=M","Days=T","Dir=V")</f>
        <v>0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BDH("RTB US Equity","BS_TOT_ASSET","1993-06-18","2026-05-02","Per=Y","Days=T","Dir=V")</f>
        <v>0</v>
      </c>
      <c r="C2">
        <f>BDH("RTB US Equity","BS_TOT_LIAB2","1993-06-18","2026-05-02","Per=Y","Days=T","Dir=V")</f>
        <v>0</v>
      </c>
      <c r="E2">
        <f>BDH("RTB US Equity","SHORT_AND_LONG_TERM_DEBT","1993-06-18","2026-05-02","Per=Y","Days=T","Dir=V")</f>
        <v>0</v>
      </c>
      <c r="G2">
        <f>BDH("RTB US Equity","BS_ST_BORROW","1993-06-18","2026-05-02","Per=Y","Days=T","Dir=V")</f>
        <v>0</v>
      </c>
      <c r="I2">
        <f>BDH("RTB US Equity","BS_LT_BORROW","1993-06-18","2026-05-02","Per=Y","Days=T","Dir=V")</f>
        <v>0</v>
      </c>
      <c r="K2">
        <f>BDH("RTB US Equity","BS_CASH_NEAR_CASH_ITEM","1993-06-18","2026-05-02","Per=Y","Days=T","Dir=V")</f>
        <v>0</v>
      </c>
      <c r="M2">
        <f>BDH("RTB US Equity","BS_CUR_ASSET_REPORT","1993-06-18","2026-05-02","Per=Y","Days=T","Dir=V")</f>
        <v>0</v>
      </c>
      <c r="O2">
        <f>BDH("RTB US Equity","BS_CUR_LIAB","1993-06-18","2026-05-02","Per=Y","Days=T","Dir=V")</f>
        <v>0</v>
      </c>
      <c r="Q2">
        <f>BDH("RTB US Equity","BS_SHAREHOLDER_EQY_ENDING_PERIOD","1993-06-18","2026-05-02","Per=Y","Days=T","Dir=V")</f>
        <v>0</v>
      </c>
      <c r="S2">
        <f>BDH("RTB US Equity","BS_ACCT_NOTE_RCV","1993-06-18","2026-05-02","Per=Y","Days=T","Dir=V")</f>
        <v>0</v>
      </c>
      <c r="U2">
        <f>BDH("RTB US Equity","BS_INVENTORIES","1993-06-18","2026-05-02","Per=Y","Days=T","Dir=V")</f>
        <v>0</v>
      </c>
      <c r="W2">
        <f>BDH("RTB US Equity","WORKING_CAPITAL","1993-06-18","2026-05-02","Per=Y","Days=T","Dir=V")</f>
        <v>0</v>
      </c>
      <c r="Y2">
        <f>BDH("RTB US Equity","SALES_REV_TURN","1993-06-18","2026-05-02","Per=Y","Days=T","Dir=V")</f>
        <v>0</v>
      </c>
      <c r="AA2">
        <f>BDH("RTB US Equity","EBIT","1993-06-18","2026-05-02","Per=Y","Days=T","Dir=V")</f>
        <v>0</v>
      </c>
      <c r="AC2">
        <f>BDH("RTB US Equity","EBITDA","1993-06-18","2026-05-02","Per=Y","Days=T","Dir=V")</f>
        <v>0</v>
      </c>
      <c r="AE2">
        <f>BDH("RTB US Equity","NET_INCOME","1993-06-18","2026-05-02","Per=Y","Days=T","Dir=V")</f>
        <v>0</v>
      </c>
      <c r="AG2">
        <f>BDH("RTB US Equity","IS_INT_EXPENSE","1993-06-18","2026-05-02","Per=Y","Days=T","Dir=V")</f>
        <v>0</v>
      </c>
      <c r="AI2">
        <f>BDH("RTB US Equity","IS_DEPR_EXP","1993-06-18","2026-05-02","Per=Y","Days=T","Dir=V")</f>
        <v>0</v>
      </c>
      <c r="AK2">
        <f>BDH("RTB US Equity","CF_CASH_FROM_OPER","1993-06-18","2026-05-02","Per=Y","Days=T","Dir=V")</f>
        <v>0</v>
      </c>
      <c r="AM2">
        <f>BDH("RTB US Equity","CAPITAL_EXPEND","1993-06-18","2026-05-02","Per=Y","Days=T","Dir=V")</f>
        <v>0</v>
      </c>
      <c r="AO2">
        <f>BDH("RTB US Equity","CF_FREE_CASH_FLOW","1993-06-18","2026-05-02","Per=Y","Days=T","Dir=V")</f>
        <v>0</v>
      </c>
      <c r="AQ2">
        <f>BDH("RTB US Equity","PX_LAST","1993-06-18","2026-05-02","Per=M","Days=T","Dir=V")</f>
        <v>0</v>
      </c>
      <c r="AS2">
        <f>BDH("RTB US Equity","CUR_MKT_CAP","1993-06-18","2026-05-02","Per=M","Days=T","Dir=V")</f>
        <v>0</v>
      </c>
      <c r="AU2">
        <f>BDH("RTB US Equity","EQY_SH_OUT","1993-06-18","2026-05-02","Per=M","Days=T","Dir=V")</f>
        <v>0</v>
      </c>
      <c r="AW2">
        <f>BDH("RTB US Equity","PX_VOLUME","1993-06-18","2026-05-02","Per=M","Days=T","Dir=V")</f>
        <v>0</v>
      </c>
      <c r="AY2">
        <f>BDH("RTB US Equity","TURNOVER","1993-06-18","2026-05-02","Per=M","Days=T","Dir=V")</f>
        <v>0</v>
      </c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BDH("RTO US Equity","BS_TOT_ASSET","1993-06-18","2026-05-02","Per=Y","Days=T","Dir=V")</f>
        <v>0</v>
      </c>
      <c r="C2">
        <f>BDH("RTO US Equity","BS_TOT_LIAB2","1993-06-18","2026-05-02","Per=Y","Days=T","Dir=V")</f>
        <v>0</v>
      </c>
      <c r="E2">
        <f>BDH("RTO US Equity","SHORT_AND_LONG_TERM_DEBT","1993-06-18","2026-05-02","Per=Y","Days=T","Dir=V")</f>
        <v>0</v>
      </c>
      <c r="G2">
        <f>BDH("RTO US Equity","BS_ST_BORROW","1993-06-18","2026-05-02","Per=Y","Days=T","Dir=V")</f>
        <v>0</v>
      </c>
      <c r="I2">
        <f>BDH("RTO US Equity","BS_LT_BORROW","1993-06-18","2026-05-02","Per=Y","Days=T","Dir=V")</f>
        <v>0</v>
      </c>
      <c r="K2">
        <f>BDH("RTO US Equity","BS_CASH_NEAR_CASH_ITEM","1993-06-18","2026-05-02","Per=Y","Days=T","Dir=V")</f>
        <v>0</v>
      </c>
      <c r="M2">
        <f>BDH("RTO US Equity","BS_CUR_ASSET_REPORT","1993-06-18","2026-05-02","Per=Y","Days=T","Dir=V")</f>
        <v>0</v>
      </c>
      <c r="O2">
        <f>BDH("RTO US Equity","BS_CUR_LIAB","1993-06-18","2026-05-02","Per=Y","Days=T","Dir=V")</f>
        <v>0</v>
      </c>
      <c r="Q2">
        <f>BDH("RTO US Equity","BS_SHAREHOLDER_EQY_ENDING_PERIOD","1993-06-18","2026-05-02","Per=Y","Days=T","Dir=V")</f>
        <v>0</v>
      </c>
      <c r="S2">
        <f>BDH("RTO US Equity","BS_ACCT_NOTE_RCV","1993-06-18","2026-05-02","Per=Y","Days=T","Dir=V")</f>
        <v>0</v>
      </c>
      <c r="U2">
        <f>BDH("RTO US Equity","BS_INVENTORIES","1993-06-18","2026-05-02","Per=Y","Days=T","Dir=V")</f>
        <v>0</v>
      </c>
      <c r="W2">
        <f>BDH("RTO US Equity","WORKING_CAPITAL","1993-06-18","2026-05-02","Per=Y","Days=T","Dir=V")</f>
        <v>0</v>
      </c>
      <c r="Y2">
        <f>BDH("RTO US Equity","SALES_REV_TURN","1993-06-18","2026-05-02","Per=Y","Days=T","Dir=V")</f>
        <v>0</v>
      </c>
      <c r="AA2">
        <f>BDH("RTO US Equity","EBIT","1993-06-18","2026-05-02","Per=Y","Days=T","Dir=V")</f>
        <v>0</v>
      </c>
      <c r="AC2">
        <f>BDH("RTO US Equity","EBITDA","1993-06-18","2026-05-02","Per=Y","Days=T","Dir=V")</f>
        <v>0</v>
      </c>
      <c r="AE2">
        <f>BDH("RTO US Equity","NET_INCOME","1993-06-18","2026-05-02","Per=Y","Days=T","Dir=V")</f>
        <v>0</v>
      </c>
      <c r="AG2">
        <f>BDH("RTO US Equity","IS_INT_EXPENSE","1993-06-18","2026-05-02","Per=Y","Days=T","Dir=V")</f>
        <v>0</v>
      </c>
      <c r="AI2">
        <f>BDH("RTO US Equity","IS_DEPR_EXP","1993-06-18","2026-05-02","Per=Y","Days=T","Dir=V")</f>
        <v>0</v>
      </c>
      <c r="AK2">
        <f>BDH("RTO US Equity","CF_CASH_FROM_OPER","1993-06-18","2026-05-02","Per=Y","Days=T","Dir=V")</f>
        <v>0</v>
      </c>
      <c r="AM2">
        <f>BDH("RTO US Equity","CAPITAL_EXPEND","1993-06-18","2026-05-02","Per=Y","Days=T","Dir=V")</f>
        <v>0</v>
      </c>
      <c r="AO2">
        <f>BDH("RTO US Equity","CF_FREE_CASH_FLOW","1993-06-18","2026-05-02","Per=Y","Days=T","Dir=V")</f>
        <v>0</v>
      </c>
      <c r="AQ2">
        <f>BDH("RTO US Equity","PX_LAST","1993-06-18","2026-05-02","Per=M","Days=T","Dir=V")</f>
        <v>0</v>
      </c>
      <c r="AS2">
        <f>BDH("RTO US Equity","CUR_MKT_CAP","1993-06-18","2026-05-02","Per=M","Days=T","Dir=V")</f>
        <v>0</v>
      </c>
      <c r="AU2">
        <f>BDH("RTO US Equity","EQY_SH_OUT","1993-06-18","2026-05-02","Per=M","Days=T","Dir=V")</f>
        <v>0</v>
      </c>
      <c r="AW2">
        <f>BDH("RTO US Equity","PX_VOLUME","1993-06-18","2026-05-02","Per=M","Days=T","Dir=V")</f>
        <v>0</v>
      </c>
      <c r="AY2">
        <f>BDH("RTO US Equity","TURNOVER","1993-06-18","2026-05-02","Per=M","Days=T","Dir=V")</f>
        <v>0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BDH("RTX US Equity","BS_TOT_ASSET","1993-06-18","2026-05-02","Per=Y","Days=T","Dir=V")</f>
        <v>0</v>
      </c>
      <c r="C2">
        <f>BDH("RTX US Equity","BS_TOT_LIAB2","1993-06-18","2026-05-02","Per=Y","Days=T","Dir=V")</f>
        <v>0</v>
      </c>
      <c r="E2">
        <f>BDH("RTX US Equity","SHORT_AND_LONG_TERM_DEBT","1993-06-18","2026-05-02","Per=Y","Days=T","Dir=V")</f>
        <v>0</v>
      </c>
      <c r="G2">
        <f>BDH("RTX US Equity","BS_ST_BORROW","1993-06-18","2026-05-02","Per=Y","Days=T","Dir=V")</f>
        <v>0</v>
      </c>
      <c r="I2">
        <f>BDH("RTX US Equity","BS_LT_BORROW","1993-06-18","2026-05-02","Per=Y","Days=T","Dir=V")</f>
        <v>0</v>
      </c>
      <c r="K2">
        <f>BDH("RTX US Equity","BS_CASH_NEAR_CASH_ITEM","1993-06-18","2026-05-02","Per=Y","Days=T","Dir=V")</f>
        <v>0</v>
      </c>
      <c r="M2">
        <f>BDH("RTX US Equity","BS_CUR_ASSET_REPORT","1993-06-18","2026-05-02","Per=Y","Days=T","Dir=V")</f>
        <v>0</v>
      </c>
      <c r="O2">
        <f>BDH("RTX US Equity","BS_CUR_LIAB","1993-06-18","2026-05-02","Per=Y","Days=T","Dir=V")</f>
        <v>0</v>
      </c>
      <c r="Q2">
        <f>BDH("RTX US Equity","BS_SHAREHOLDER_EQY_ENDING_PERIOD","1993-06-18","2026-05-02","Per=Y","Days=T","Dir=V")</f>
        <v>0</v>
      </c>
      <c r="S2">
        <f>BDH("RTX US Equity","BS_ACCT_NOTE_RCV","1993-06-18","2026-05-02","Per=Y","Days=T","Dir=V")</f>
        <v>0</v>
      </c>
      <c r="U2">
        <f>BDH("RTX US Equity","BS_INVENTORIES","1993-06-18","2026-05-02","Per=Y","Days=T","Dir=V")</f>
        <v>0</v>
      </c>
      <c r="W2">
        <f>BDH("RTX US Equity","WORKING_CAPITAL","1993-06-18","2026-05-02","Per=Y","Days=T","Dir=V")</f>
        <v>0</v>
      </c>
      <c r="Y2">
        <f>BDH("RTX US Equity","SALES_REV_TURN","1993-06-18","2026-05-02","Per=Y","Days=T","Dir=V")</f>
        <v>0</v>
      </c>
      <c r="AA2">
        <f>BDH("RTX US Equity","EBIT","1993-06-18","2026-05-02","Per=Y","Days=T","Dir=V")</f>
        <v>0</v>
      </c>
      <c r="AC2">
        <f>BDH("RTX US Equity","EBITDA","1993-06-18","2026-05-02","Per=Y","Days=T","Dir=V")</f>
        <v>0</v>
      </c>
      <c r="AE2">
        <f>BDH("RTX US Equity","NET_INCOME","1993-06-18","2026-05-02","Per=Y","Days=T","Dir=V")</f>
        <v>0</v>
      </c>
      <c r="AG2">
        <f>BDH("RTX US Equity","IS_INT_EXPENSE","1993-06-18","2026-05-02","Per=Y","Days=T","Dir=V")</f>
        <v>0</v>
      </c>
      <c r="AI2">
        <f>BDH("RTX US Equity","IS_DEPR_EXP","1993-06-18","2026-05-02","Per=Y","Days=T","Dir=V")</f>
        <v>0</v>
      </c>
      <c r="AK2">
        <f>BDH("RTX US Equity","CF_CASH_FROM_OPER","1993-06-18","2026-05-02","Per=Y","Days=T","Dir=V")</f>
        <v>0</v>
      </c>
      <c r="AM2">
        <f>BDH("RTX US Equity","CAPITAL_EXPEND","1993-06-18","2026-05-02","Per=Y","Days=T","Dir=V")</f>
        <v>0</v>
      </c>
      <c r="AO2">
        <f>BDH("RTX US Equity","CF_FREE_CASH_FLOW","1993-06-18","2026-05-02","Per=Y","Days=T","Dir=V")</f>
        <v>0</v>
      </c>
      <c r="AQ2">
        <f>BDH("RTX US Equity","PX_LAST","1993-06-18","2026-05-02","Per=M","Days=T","Dir=V")</f>
        <v>0</v>
      </c>
      <c r="AS2">
        <f>BDH("RTX US Equity","CUR_MKT_CAP","1993-06-18","2026-05-02","Per=M","Days=T","Dir=V")</f>
        <v>0</v>
      </c>
      <c r="AU2">
        <f>BDH("RTX US Equity","EQY_SH_OUT","1993-06-18","2026-05-02","Per=M","Days=T","Dir=V")</f>
        <v>0</v>
      </c>
      <c r="AW2">
        <f>BDH("RTX US Equity","PX_VOLUME","1993-06-18","2026-05-02","Per=M","Days=T","Dir=V")</f>
        <v>0</v>
      </c>
      <c r="AY2">
        <f>BDH("RTX US Equity","TURNOVER","1993-06-18","2026-05-02","Per=M","Days=T","Dir=V")</f>
        <v>0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BDH("RUM US Equity","BS_TOT_ASSET","1993-06-18","2026-05-02","Per=Y","Days=T","Dir=V")</f>
        <v>0</v>
      </c>
      <c r="C2">
        <f>BDH("RUM US Equity","BS_TOT_LIAB2","1993-06-18","2026-05-02","Per=Y","Days=T","Dir=V")</f>
        <v>0</v>
      </c>
      <c r="E2">
        <f>BDH("RUM US Equity","SHORT_AND_LONG_TERM_DEBT","1993-06-18","2026-05-02","Per=Y","Days=T","Dir=V")</f>
        <v>0</v>
      </c>
      <c r="G2">
        <f>BDH("RUM US Equity","BS_ST_BORROW","1993-06-18","2026-05-02","Per=Y","Days=T","Dir=V")</f>
        <v>0</v>
      </c>
      <c r="I2">
        <f>BDH("RUM US Equity","BS_LT_BORROW","1993-06-18","2026-05-02","Per=Y","Days=T","Dir=V")</f>
        <v>0</v>
      </c>
      <c r="K2">
        <f>BDH("RUM US Equity","BS_CASH_NEAR_CASH_ITEM","1993-06-18","2026-05-02","Per=Y","Days=T","Dir=V")</f>
        <v>0</v>
      </c>
      <c r="M2">
        <f>BDH("RUM US Equity","BS_CUR_ASSET_REPORT","1993-06-18","2026-05-02","Per=Y","Days=T","Dir=V")</f>
        <v>0</v>
      </c>
      <c r="O2">
        <f>BDH("RUM US Equity","BS_CUR_LIAB","1993-06-18","2026-05-02","Per=Y","Days=T","Dir=V")</f>
        <v>0</v>
      </c>
      <c r="Q2">
        <f>BDH("RUM US Equity","BS_SHAREHOLDER_EQY_ENDING_PERIOD","1993-06-18","2026-05-02","Per=Y","Days=T","Dir=V")</f>
        <v>0</v>
      </c>
      <c r="S2">
        <f>BDH("RUM US Equity","BS_ACCT_NOTE_RCV","1993-06-18","2026-05-02","Per=Y","Days=T","Dir=V")</f>
        <v>0</v>
      </c>
      <c r="U2">
        <f>BDH("RUM US Equity","BS_INVENTORIES","1993-06-18","2026-05-02","Per=Y","Days=T","Dir=V")</f>
        <v>0</v>
      </c>
      <c r="W2">
        <f>BDH("RUM US Equity","WORKING_CAPITAL","1993-06-18","2026-05-02","Per=Y","Days=T","Dir=V")</f>
        <v>0</v>
      </c>
      <c r="Y2">
        <f>BDH("RUM US Equity","SALES_REV_TURN","1993-06-18","2026-05-02","Per=Y","Days=T","Dir=V")</f>
        <v>0</v>
      </c>
      <c r="AA2">
        <f>BDH("RUM US Equity","EBIT","1993-06-18","2026-05-02","Per=Y","Days=T","Dir=V")</f>
        <v>0</v>
      </c>
      <c r="AC2">
        <f>BDH("RUM US Equity","EBITDA","1993-06-18","2026-05-02","Per=Y","Days=T","Dir=V")</f>
        <v>0</v>
      </c>
      <c r="AE2">
        <f>BDH("RUM US Equity","NET_INCOME","1993-06-18","2026-05-02","Per=Y","Days=T","Dir=V")</f>
        <v>0</v>
      </c>
      <c r="AG2">
        <f>BDH("RUM US Equity","IS_INT_EXPENSE","1993-06-18","2026-05-02","Per=Y","Days=T","Dir=V")</f>
        <v>0</v>
      </c>
      <c r="AI2">
        <f>BDH("RUM US Equity","IS_DEPR_EXP","1993-06-18","2026-05-02","Per=Y","Days=T","Dir=V")</f>
        <v>0</v>
      </c>
      <c r="AK2">
        <f>BDH("RUM US Equity","CF_CASH_FROM_OPER","1993-06-18","2026-05-02","Per=Y","Days=T","Dir=V")</f>
        <v>0</v>
      </c>
      <c r="AM2">
        <f>BDH("RUM US Equity","CAPITAL_EXPEND","1993-06-18","2026-05-02","Per=Y","Days=T","Dir=V")</f>
        <v>0</v>
      </c>
      <c r="AO2">
        <f>BDH("RUM US Equity","CF_FREE_CASH_FLOW","1993-06-18","2026-05-02","Per=Y","Days=T","Dir=V")</f>
        <v>0</v>
      </c>
      <c r="AQ2">
        <f>BDH("RUM US Equity","PX_LAST","1993-06-18","2026-05-02","Per=M","Days=T","Dir=V")</f>
        <v>0</v>
      </c>
      <c r="AS2">
        <f>BDH("RUM US Equity","CUR_MKT_CAP","1993-06-18","2026-05-02","Per=M","Days=T","Dir=V")</f>
        <v>0</v>
      </c>
      <c r="AU2">
        <f>BDH("RUM US Equity","EQY_SH_OUT","1993-06-18","2026-05-02","Per=M","Days=T","Dir=V")</f>
        <v>0</v>
      </c>
      <c r="AW2">
        <f>BDH("RUM US Equity","PX_VOLUME","1993-06-18","2026-05-02","Per=M","Days=T","Dir=V")</f>
        <v>0</v>
      </c>
      <c r="AY2">
        <f>BDH("RUM US Equity","TURNOVER","1993-06-18","2026-05-02","Per=M","Days=T","Dir=V")</f>
        <v>0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BDH("RUMBW US Equity","BS_TOT_ASSET","1993-06-18","2026-05-02","Per=Y","Days=T","Dir=V")</f>
        <v>0</v>
      </c>
      <c r="C2">
        <f>BDH("RUMBW US Equity","BS_TOT_LIAB2","1993-06-18","2026-05-02","Per=Y","Days=T","Dir=V")</f>
        <v>0</v>
      </c>
      <c r="E2">
        <f>BDH("RUMBW US Equity","SHORT_AND_LONG_TERM_DEBT","1993-06-18","2026-05-02","Per=Y","Days=T","Dir=V")</f>
        <v>0</v>
      </c>
      <c r="G2">
        <f>BDH("RUMBW US Equity","BS_ST_BORROW","1993-06-18","2026-05-02","Per=Y","Days=T","Dir=V")</f>
        <v>0</v>
      </c>
      <c r="I2">
        <f>BDH("RUMBW US Equity","BS_LT_BORROW","1993-06-18","2026-05-02","Per=Y","Days=T","Dir=V")</f>
        <v>0</v>
      </c>
      <c r="K2">
        <f>BDH("RUMBW US Equity","BS_CASH_NEAR_CASH_ITEM","1993-06-18","2026-05-02","Per=Y","Days=T","Dir=V")</f>
        <v>0</v>
      </c>
      <c r="M2">
        <f>BDH("RUMBW US Equity","BS_CUR_ASSET_REPORT","1993-06-18","2026-05-02","Per=Y","Days=T","Dir=V")</f>
        <v>0</v>
      </c>
      <c r="O2">
        <f>BDH("RUMBW US Equity","BS_CUR_LIAB","1993-06-18","2026-05-02","Per=Y","Days=T","Dir=V")</f>
        <v>0</v>
      </c>
      <c r="Q2">
        <f>BDH("RUMBW US Equity","BS_SHAREHOLDER_EQY_ENDING_PERIOD","1993-06-18","2026-05-02","Per=Y","Days=T","Dir=V")</f>
        <v>0</v>
      </c>
      <c r="S2">
        <f>BDH("RUMBW US Equity","BS_ACCT_NOTE_RCV","1993-06-18","2026-05-02","Per=Y","Days=T","Dir=V")</f>
        <v>0</v>
      </c>
      <c r="U2">
        <f>BDH("RUMBW US Equity","BS_INVENTORIES","1993-06-18","2026-05-02","Per=Y","Days=T","Dir=V")</f>
        <v>0</v>
      </c>
      <c r="W2">
        <f>BDH("RUMBW US Equity","WORKING_CAPITAL","1993-06-18","2026-05-02","Per=Y","Days=T","Dir=V")</f>
        <v>0</v>
      </c>
      <c r="Y2">
        <f>BDH("RUMBW US Equity","SALES_REV_TURN","1993-06-18","2026-05-02","Per=Y","Days=T","Dir=V")</f>
        <v>0</v>
      </c>
      <c r="AA2">
        <f>BDH("RUMBW US Equity","EBIT","1993-06-18","2026-05-02","Per=Y","Days=T","Dir=V")</f>
        <v>0</v>
      </c>
      <c r="AC2">
        <f>BDH("RUMBW US Equity","EBITDA","1993-06-18","2026-05-02","Per=Y","Days=T","Dir=V")</f>
        <v>0</v>
      </c>
      <c r="AE2">
        <f>BDH("RUMBW US Equity","NET_INCOME","1993-06-18","2026-05-02","Per=Y","Days=T","Dir=V")</f>
        <v>0</v>
      </c>
      <c r="AG2">
        <f>BDH("RUMBW US Equity","IS_INT_EXPENSE","1993-06-18","2026-05-02","Per=Y","Days=T","Dir=V")</f>
        <v>0</v>
      </c>
      <c r="AI2">
        <f>BDH("RUMBW US Equity","IS_DEPR_EXP","1993-06-18","2026-05-02","Per=Y","Days=T","Dir=V")</f>
        <v>0</v>
      </c>
      <c r="AK2">
        <f>BDH("RUMBW US Equity","CF_CASH_FROM_OPER","1993-06-18","2026-05-02","Per=Y","Days=T","Dir=V")</f>
        <v>0</v>
      </c>
      <c r="AM2">
        <f>BDH("RUMBW US Equity","CAPITAL_EXPEND","1993-06-18","2026-05-02","Per=Y","Days=T","Dir=V")</f>
        <v>0</v>
      </c>
      <c r="AO2">
        <f>BDH("RUMBW US Equity","CF_FREE_CASH_FLOW","1993-06-18","2026-05-02","Per=Y","Days=T","Dir=V")</f>
        <v>0</v>
      </c>
      <c r="AQ2">
        <f>BDH("RUMBW US Equity","PX_LAST","1993-06-18","2026-05-02","Per=M","Days=T","Dir=V")</f>
        <v>0</v>
      </c>
      <c r="AS2">
        <f>BDH("RUMBW US Equity","CUR_MKT_CAP","1993-06-18","2026-05-02","Per=M","Days=T","Dir=V")</f>
        <v>0</v>
      </c>
      <c r="AU2">
        <f>BDH("RUMBW US Equity","EQY_SH_OUT","1993-06-18","2026-05-02","Per=M","Days=T","Dir=V")</f>
        <v>0</v>
      </c>
      <c r="AW2">
        <f>BDH("RUMBW US Equity","PX_VOLUME","1993-06-18","2026-05-02","Per=M","Days=T","Dir=V")</f>
        <v>0</v>
      </c>
      <c r="AY2">
        <f>BDH("RUMBW US Equity","TURNOVER","1993-06-18","2026-05-02","Per=M","Days=T","Dir=V")</f>
        <v>0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BDH("RUSHA US Equity","BS_TOT_ASSET","1993-06-18","2026-05-02","Per=Y","Days=T","Dir=V")</f>
        <v>0</v>
      </c>
      <c r="C2">
        <f>BDH("RUSHA US Equity","BS_TOT_LIAB2","1993-06-18","2026-05-02","Per=Y","Days=T","Dir=V")</f>
        <v>0</v>
      </c>
      <c r="E2">
        <f>BDH("RUSHA US Equity","SHORT_AND_LONG_TERM_DEBT","1993-06-18","2026-05-02","Per=Y","Days=T","Dir=V")</f>
        <v>0</v>
      </c>
      <c r="G2">
        <f>BDH("RUSHA US Equity","BS_ST_BORROW","1993-06-18","2026-05-02","Per=Y","Days=T","Dir=V")</f>
        <v>0</v>
      </c>
      <c r="I2">
        <f>BDH("RUSHA US Equity","BS_LT_BORROW","1993-06-18","2026-05-02","Per=Y","Days=T","Dir=V")</f>
        <v>0</v>
      </c>
      <c r="K2">
        <f>BDH("RUSHA US Equity","BS_CASH_NEAR_CASH_ITEM","1993-06-18","2026-05-02","Per=Y","Days=T","Dir=V")</f>
        <v>0</v>
      </c>
      <c r="M2">
        <f>BDH("RUSHA US Equity","BS_CUR_ASSET_REPORT","1993-06-18","2026-05-02","Per=Y","Days=T","Dir=V")</f>
        <v>0</v>
      </c>
      <c r="O2">
        <f>BDH("RUSHA US Equity","BS_CUR_LIAB","1993-06-18","2026-05-02","Per=Y","Days=T","Dir=V")</f>
        <v>0</v>
      </c>
      <c r="Q2">
        <f>BDH("RUSHA US Equity","BS_SHAREHOLDER_EQY_ENDING_PERIOD","1993-06-18","2026-05-02","Per=Y","Days=T","Dir=V")</f>
        <v>0</v>
      </c>
      <c r="S2">
        <f>BDH("RUSHA US Equity","BS_ACCT_NOTE_RCV","1993-06-18","2026-05-02","Per=Y","Days=T","Dir=V")</f>
        <v>0</v>
      </c>
      <c r="U2">
        <f>BDH("RUSHA US Equity","BS_INVENTORIES","1993-06-18","2026-05-02","Per=Y","Days=T","Dir=V")</f>
        <v>0</v>
      </c>
      <c r="W2">
        <f>BDH("RUSHA US Equity","WORKING_CAPITAL","1993-06-18","2026-05-02","Per=Y","Days=T","Dir=V")</f>
        <v>0</v>
      </c>
      <c r="Y2">
        <f>BDH("RUSHA US Equity","SALES_REV_TURN","1993-06-18","2026-05-02","Per=Y","Days=T","Dir=V")</f>
        <v>0</v>
      </c>
      <c r="AA2">
        <f>BDH("RUSHA US Equity","EBIT","1993-06-18","2026-05-02","Per=Y","Days=T","Dir=V")</f>
        <v>0</v>
      </c>
      <c r="AC2">
        <f>BDH("RUSHA US Equity","EBITDA","1993-06-18","2026-05-02","Per=Y","Days=T","Dir=V")</f>
        <v>0</v>
      </c>
      <c r="AE2">
        <f>BDH("RUSHA US Equity","NET_INCOME","1993-06-18","2026-05-02","Per=Y","Days=T","Dir=V")</f>
        <v>0</v>
      </c>
      <c r="AG2">
        <f>BDH("RUSHA US Equity","IS_INT_EXPENSE","1993-06-18","2026-05-02","Per=Y","Days=T","Dir=V")</f>
        <v>0</v>
      </c>
      <c r="AI2">
        <f>BDH("RUSHA US Equity","IS_DEPR_EXP","1993-06-18","2026-05-02","Per=Y","Days=T","Dir=V")</f>
        <v>0</v>
      </c>
      <c r="AK2">
        <f>BDH("RUSHA US Equity","CF_CASH_FROM_OPER","1993-06-18","2026-05-02","Per=Y","Days=T","Dir=V")</f>
        <v>0</v>
      </c>
      <c r="AM2">
        <f>BDH("RUSHA US Equity","CAPITAL_EXPEND","1993-06-18","2026-05-02","Per=Y","Days=T","Dir=V")</f>
        <v>0</v>
      </c>
      <c r="AO2">
        <f>BDH("RUSHA US Equity","CF_FREE_CASH_FLOW","1993-06-18","2026-05-02","Per=Y","Days=T","Dir=V")</f>
        <v>0</v>
      </c>
      <c r="AQ2">
        <f>BDH("RUSHA US Equity","PX_LAST","1993-06-18","2026-05-02","Per=M","Days=T","Dir=V")</f>
        <v>0</v>
      </c>
      <c r="AS2">
        <f>BDH("RUSHA US Equity","CUR_MKT_CAP","1993-06-18","2026-05-02","Per=M","Days=T","Dir=V")</f>
        <v>0</v>
      </c>
      <c r="AU2">
        <f>BDH("RUSHA US Equity","EQY_SH_OUT","1993-06-18","2026-05-02","Per=M","Days=T","Dir=V")</f>
        <v>0</v>
      </c>
      <c r="AW2">
        <f>BDH("RUSHA US Equity","PX_VOLUME","1993-06-18","2026-05-02","Per=M","Days=T","Dir=V")</f>
        <v>0</v>
      </c>
      <c r="AY2">
        <f>BDH("RUSHA US Equity","TURNOVER","1993-06-18","2026-05-02","Per=M","Days=T","Dir=V")</f>
        <v>0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BDH("RUSHB US Equity","BS_TOT_ASSET","1993-06-18","2026-05-02","Per=Y","Days=T","Dir=V")</f>
        <v>0</v>
      </c>
      <c r="C2">
        <f>BDH("RUSHB US Equity","BS_TOT_LIAB2","1993-06-18","2026-05-02","Per=Y","Days=T","Dir=V")</f>
        <v>0</v>
      </c>
      <c r="E2">
        <f>BDH("RUSHB US Equity","SHORT_AND_LONG_TERM_DEBT","1993-06-18","2026-05-02","Per=Y","Days=T","Dir=V")</f>
        <v>0</v>
      </c>
      <c r="G2">
        <f>BDH("RUSHB US Equity","BS_ST_BORROW","1993-06-18","2026-05-02","Per=Y","Days=T","Dir=V")</f>
        <v>0</v>
      </c>
      <c r="I2">
        <f>BDH("RUSHB US Equity","BS_LT_BORROW","1993-06-18","2026-05-02","Per=Y","Days=T","Dir=V")</f>
        <v>0</v>
      </c>
      <c r="K2">
        <f>BDH("RUSHB US Equity","BS_CASH_NEAR_CASH_ITEM","1993-06-18","2026-05-02","Per=Y","Days=T","Dir=V")</f>
        <v>0</v>
      </c>
      <c r="M2">
        <f>BDH("RUSHB US Equity","BS_CUR_ASSET_REPORT","1993-06-18","2026-05-02","Per=Y","Days=T","Dir=V")</f>
        <v>0</v>
      </c>
      <c r="O2">
        <f>BDH("RUSHB US Equity","BS_CUR_LIAB","1993-06-18","2026-05-02","Per=Y","Days=T","Dir=V")</f>
        <v>0</v>
      </c>
      <c r="Q2">
        <f>BDH("RUSHB US Equity","BS_SHAREHOLDER_EQY_ENDING_PERIOD","1993-06-18","2026-05-02","Per=Y","Days=T","Dir=V")</f>
        <v>0</v>
      </c>
      <c r="S2">
        <f>BDH("RUSHB US Equity","BS_ACCT_NOTE_RCV","1993-06-18","2026-05-02","Per=Y","Days=T","Dir=V")</f>
        <v>0</v>
      </c>
      <c r="U2">
        <f>BDH("RUSHB US Equity","BS_INVENTORIES","1993-06-18","2026-05-02","Per=Y","Days=T","Dir=V")</f>
        <v>0</v>
      </c>
      <c r="W2">
        <f>BDH("RUSHB US Equity","WORKING_CAPITAL","1993-06-18","2026-05-02","Per=Y","Days=T","Dir=V")</f>
        <v>0</v>
      </c>
      <c r="Y2">
        <f>BDH("RUSHB US Equity","SALES_REV_TURN","1993-06-18","2026-05-02","Per=Y","Days=T","Dir=V")</f>
        <v>0</v>
      </c>
      <c r="AA2">
        <f>BDH("RUSHB US Equity","EBIT","1993-06-18","2026-05-02","Per=Y","Days=T","Dir=V")</f>
        <v>0</v>
      </c>
      <c r="AC2">
        <f>BDH("RUSHB US Equity","EBITDA","1993-06-18","2026-05-02","Per=Y","Days=T","Dir=V")</f>
        <v>0</v>
      </c>
      <c r="AE2">
        <f>BDH("RUSHB US Equity","NET_INCOME","1993-06-18","2026-05-02","Per=Y","Days=T","Dir=V")</f>
        <v>0</v>
      </c>
      <c r="AG2">
        <f>BDH("RUSHB US Equity","IS_INT_EXPENSE","1993-06-18","2026-05-02","Per=Y","Days=T","Dir=V")</f>
        <v>0</v>
      </c>
      <c r="AI2">
        <f>BDH("RUSHB US Equity","IS_DEPR_EXP","1993-06-18","2026-05-02","Per=Y","Days=T","Dir=V")</f>
        <v>0</v>
      </c>
      <c r="AK2">
        <f>BDH("RUSHB US Equity","CF_CASH_FROM_OPER","1993-06-18","2026-05-02","Per=Y","Days=T","Dir=V")</f>
        <v>0</v>
      </c>
      <c r="AM2">
        <f>BDH("RUSHB US Equity","CAPITAL_EXPEND","1993-06-18","2026-05-02","Per=Y","Days=T","Dir=V")</f>
        <v>0</v>
      </c>
      <c r="AO2">
        <f>BDH("RUSHB US Equity","CF_FREE_CASH_FLOW","1993-06-18","2026-05-02","Per=Y","Days=T","Dir=V")</f>
        <v>0</v>
      </c>
      <c r="AQ2">
        <f>BDH("RUSHB US Equity","PX_LAST","1993-06-18","2026-05-02","Per=M","Days=T","Dir=V")</f>
        <v>0</v>
      </c>
      <c r="AS2">
        <f>BDH("RUSHB US Equity","CUR_MKT_CAP","1993-06-18","2026-05-02","Per=M","Days=T","Dir=V")</f>
        <v>0</v>
      </c>
      <c r="AU2">
        <f>BDH("RUSHB US Equity","EQY_SH_OUT","1993-06-18","2026-05-02","Per=M","Days=T","Dir=V")</f>
        <v>0</v>
      </c>
      <c r="AW2">
        <f>BDH("RUSHB US Equity","PX_VOLUME","1993-06-18","2026-05-02","Per=M","Days=T","Dir=V")</f>
        <v>0</v>
      </c>
      <c r="AY2">
        <f>BDH("RUSHB US Equity","TURNOVER","1993-06-18","2026-05-02","Per=M","Days=T","Dir=V")</f>
        <v>0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BDH("RVLV US Equity","BS_TOT_ASSET","1993-06-18","2026-05-02","Per=Y","Days=T","Dir=V")</f>
        <v>0</v>
      </c>
      <c r="C2">
        <f>BDH("RVLV US Equity","BS_TOT_LIAB2","1993-06-18","2026-05-02","Per=Y","Days=T","Dir=V")</f>
        <v>0</v>
      </c>
      <c r="E2">
        <f>BDH("RVLV US Equity","SHORT_AND_LONG_TERM_DEBT","1993-06-18","2026-05-02","Per=Y","Days=T","Dir=V")</f>
        <v>0</v>
      </c>
      <c r="G2">
        <f>BDH("RVLV US Equity","BS_ST_BORROW","1993-06-18","2026-05-02","Per=Y","Days=T","Dir=V")</f>
        <v>0</v>
      </c>
      <c r="I2">
        <f>BDH("RVLV US Equity","BS_LT_BORROW","1993-06-18","2026-05-02","Per=Y","Days=T","Dir=V")</f>
        <v>0</v>
      </c>
      <c r="K2">
        <f>BDH("RVLV US Equity","BS_CASH_NEAR_CASH_ITEM","1993-06-18","2026-05-02","Per=Y","Days=T","Dir=V")</f>
        <v>0</v>
      </c>
      <c r="M2">
        <f>BDH("RVLV US Equity","BS_CUR_ASSET_REPORT","1993-06-18","2026-05-02","Per=Y","Days=T","Dir=V")</f>
        <v>0</v>
      </c>
      <c r="O2">
        <f>BDH("RVLV US Equity","BS_CUR_LIAB","1993-06-18","2026-05-02","Per=Y","Days=T","Dir=V")</f>
        <v>0</v>
      </c>
      <c r="Q2">
        <f>BDH("RVLV US Equity","BS_SHAREHOLDER_EQY_ENDING_PERIOD","1993-06-18","2026-05-02","Per=Y","Days=T","Dir=V")</f>
        <v>0</v>
      </c>
      <c r="S2">
        <f>BDH("RVLV US Equity","BS_ACCT_NOTE_RCV","1993-06-18","2026-05-02","Per=Y","Days=T","Dir=V")</f>
        <v>0</v>
      </c>
      <c r="U2">
        <f>BDH("RVLV US Equity","BS_INVENTORIES","1993-06-18","2026-05-02","Per=Y","Days=T","Dir=V")</f>
        <v>0</v>
      </c>
      <c r="W2">
        <f>BDH("RVLV US Equity","WORKING_CAPITAL","1993-06-18","2026-05-02","Per=Y","Days=T","Dir=V")</f>
        <v>0</v>
      </c>
      <c r="Y2">
        <f>BDH("RVLV US Equity","SALES_REV_TURN","1993-06-18","2026-05-02","Per=Y","Days=T","Dir=V")</f>
        <v>0</v>
      </c>
      <c r="AA2">
        <f>BDH("RVLV US Equity","EBIT","1993-06-18","2026-05-02","Per=Y","Days=T","Dir=V")</f>
        <v>0</v>
      </c>
      <c r="AC2">
        <f>BDH("RVLV US Equity","EBITDA","1993-06-18","2026-05-02","Per=Y","Days=T","Dir=V")</f>
        <v>0</v>
      </c>
      <c r="AE2">
        <f>BDH("RVLV US Equity","NET_INCOME","1993-06-18","2026-05-02","Per=Y","Days=T","Dir=V")</f>
        <v>0</v>
      </c>
      <c r="AG2">
        <f>BDH("RVLV US Equity","IS_INT_EXPENSE","1993-06-18","2026-05-02","Per=Y","Days=T","Dir=V")</f>
        <v>0</v>
      </c>
      <c r="AI2">
        <f>BDH("RVLV US Equity","IS_DEPR_EXP","1993-06-18","2026-05-02","Per=Y","Days=T","Dir=V")</f>
        <v>0</v>
      </c>
      <c r="AK2">
        <f>BDH("RVLV US Equity","CF_CASH_FROM_OPER","1993-06-18","2026-05-02","Per=Y","Days=T","Dir=V")</f>
        <v>0</v>
      </c>
      <c r="AM2">
        <f>BDH("RVLV US Equity","CAPITAL_EXPEND","1993-06-18","2026-05-02","Per=Y","Days=T","Dir=V")</f>
        <v>0</v>
      </c>
      <c r="AO2">
        <f>BDH("RVLV US Equity","CF_FREE_CASH_FLOW","1993-06-18","2026-05-02","Per=Y","Days=T","Dir=V")</f>
        <v>0</v>
      </c>
      <c r="AQ2">
        <f>BDH("RVLV US Equity","PX_LAST","1993-06-18","2026-05-02","Per=M","Days=T","Dir=V")</f>
        <v>0</v>
      </c>
      <c r="AS2">
        <f>BDH("RVLV US Equity","CUR_MKT_CAP","1993-06-18","2026-05-02","Per=M","Days=T","Dir=V")</f>
        <v>0</v>
      </c>
      <c r="AU2">
        <f>BDH("RVLV US Equity","EQY_SH_OUT","1993-06-18","2026-05-02","Per=M","Days=T","Dir=V")</f>
        <v>0</v>
      </c>
      <c r="AW2">
        <f>BDH("RVLV US Equity","PX_VOLUME","1993-06-18","2026-05-02","Per=M","Days=T","Dir=V")</f>
        <v>0</v>
      </c>
      <c r="AY2">
        <f>BDH("RVLV US Equity","TURNOVER","1993-06-18","2026-05-02","Per=M","Days=T","Dir=V")</f>
        <v>0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BDH("RVMD US Equity","BS_TOT_ASSET","1993-06-18","2026-05-02","Per=Y","Days=T","Dir=V")</f>
        <v>0</v>
      </c>
      <c r="C2">
        <f>BDH("RVMD US Equity","BS_TOT_LIAB2","1993-06-18","2026-05-02","Per=Y","Days=T","Dir=V")</f>
        <v>0</v>
      </c>
      <c r="E2">
        <f>BDH("RVMD US Equity","SHORT_AND_LONG_TERM_DEBT","1993-06-18","2026-05-02","Per=Y","Days=T","Dir=V")</f>
        <v>0</v>
      </c>
      <c r="G2">
        <f>BDH("RVMD US Equity","BS_ST_BORROW","1993-06-18","2026-05-02","Per=Y","Days=T","Dir=V")</f>
        <v>0</v>
      </c>
      <c r="I2">
        <f>BDH("RVMD US Equity","BS_LT_BORROW","1993-06-18","2026-05-02","Per=Y","Days=T","Dir=V")</f>
        <v>0</v>
      </c>
      <c r="K2">
        <f>BDH("RVMD US Equity","BS_CASH_NEAR_CASH_ITEM","1993-06-18","2026-05-02","Per=Y","Days=T","Dir=V")</f>
        <v>0</v>
      </c>
      <c r="M2">
        <f>BDH("RVMD US Equity","BS_CUR_ASSET_REPORT","1993-06-18","2026-05-02","Per=Y","Days=T","Dir=V")</f>
        <v>0</v>
      </c>
      <c r="O2">
        <f>BDH("RVMD US Equity","BS_CUR_LIAB","1993-06-18","2026-05-02","Per=Y","Days=T","Dir=V")</f>
        <v>0</v>
      </c>
      <c r="Q2">
        <f>BDH("RVMD US Equity","BS_SHAREHOLDER_EQY_ENDING_PERIOD","1993-06-18","2026-05-02","Per=Y","Days=T","Dir=V")</f>
        <v>0</v>
      </c>
      <c r="S2">
        <f>BDH("RVMD US Equity","BS_ACCT_NOTE_RCV","1993-06-18","2026-05-02","Per=Y","Days=T","Dir=V")</f>
        <v>0</v>
      </c>
      <c r="U2">
        <f>BDH("RVMD US Equity","BS_INVENTORIES","1993-06-18","2026-05-02","Per=Y","Days=T","Dir=V")</f>
        <v>0</v>
      </c>
      <c r="W2">
        <f>BDH("RVMD US Equity","WORKING_CAPITAL","1993-06-18","2026-05-02","Per=Y","Days=T","Dir=V")</f>
        <v>0</v>
      </c>
      <c r="Y2">
        <f>BDH("RVMD US Equity","SALES_REV_TURN","1993-06-18","2026-05-02","Per=Y","Days=T","Dir=V")</f>
        <v>0</v>
      </c>
      <c r="AA2">
        <f>BDH("RVMD US Equity","EBIT","1993-06-18","2026-05-02","Per=Y","Days=T","Dir=V")</f>
        <v>0</v>
      </c>
      <c r="AC2">
        <f>BDH("RVMD US Equity","EBITDA","1993-06-18","2026-05-02","Per=Y","Days=T","Dir=V")</f>
        <v>0</v>
      </c>
      <c r="AE2">
        <f>BDH("RVMD US Equity","NET_INCOME","1993-06-18","2026-05-02","Per=Y","Days=T","Dir=V")</f>
        <v>0</v>
      </c>
      <c r="AG2">
        <f>BDH("RVMD US Equity","IS_INT_EXPENSE","1993-06-18","2026-05-02","Per=Y","Days=T","Dir=V")</f>
        <v>0</v>
      </c>
      <c r="AI2">
        <f>BDH("RVMD US Equity","IS_DEPR_EXP","1993-06-18","2026-05-02","Per=Y","Days=T","Dir=V")</f>
        <v>0</v>
      </c>
      <c r="AK2">
        <f>BDH("RVMD US Equity","CF_CASH_FROM_OPER","1993-06-18","2026-05-02","Per=Y","Days=T","Dir=V")</f>
        <v>0</v>
      </c>
      <c r="AM2">
        <f>BDH("RVMD US Equity","CAPITAL_EXPEND","1993-06-18","2026-05-02","Per=Y","Days=T","Dir=V")</f>
        <v>0</v>
      </c>
      <c r="AO2">
        <f>BDH("RVMD US Equity","CF_FREE_CASH_FLOW","1993-06-18","2026-05-02","Per=Y","Days=T","Dir=V")</f>
        <v>0</v>
      </c>
      <c r="AQ2">
        <f>BDH("RVMD US Equity","PX_LAST","1993-06-18","2026-05-02","Per=M","Days=T","Dir=V")</f>
        <v>0</v>
      </c>
      <c r="AS2">
        <f>BDH("RVMD US Equity","CUR_MKT_CAP","1993-06-18","2026-05-02","Per=M","Days=T","Dir=V")</f>
        <v>0</v>
      </c>
      <c r="AU2">
        <f>BDH("RVMD US Equity","EQY_SH_OUT","1993-06-18","2026-05-02","Per=M","Days=T","Dir=V")</f>
        <v>0</v>
      </c>
      <c r="AW2">
        <f>BDH("RVMD US Equity","PX_VOLUME","1993-06-18","2026-05-02","Per=M","Days=T","Dir=V")</f>
        <v>0</v>
      </c>
      <c r="AY2">
        <f>BDH("RVMD US Equity","TURNOVER","1993-06-18","2026-05-02","Per=M","Days=T","Dir=V")</f>
        <v>0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BDH("RVMDW US Equity","BS_TOT_ASSET","1993-06-18","2026-05-02","Per=Y","Days=T","Dir=V")</f>
        <v>0</v>
      </c>
      <c r="C2">
        <f>BDH("RVMDW US Equity","BS_TOT_LIAB2","1993-06-18","2026-05-02","Per=Y","Days=T","Dir=V")</f>
        <v>0</v>
      </c>
      <c r="E2">
        <f>BDH("RVMDW US Equity","SHORT_AND_LONG_TERM_DEBT","1993-06-18","2026-05-02","Per=Y","Days=T","Dir=V")</f>
        <v>0</v>
      </c>
      <c r="G2">
        <f>BDH("RVMDW US Equity","BS_ST_BORROW","1993-06-18","2026-05-02","Per=Y","Days=T","Dir=V")</f>
        <v>0</v>
      </c>
      <c r="I2">
        <f>BDH("RVMDW US Equity","BS_LT_BORROW","1993-06-18","2026-05-02","Per=Y","Days=T","Dir=V")</f>
        <v>0</v>
      </c>
      <c r="K2">
        <f>BDH("RVMDW US Equity","BS_CASH_NEAR_CASH_ITEM","1993-06-18","2026-05-02","Per=Y","Days=T","Dir=V")</f>
        <v>0</v>
      </c>
      <c r="M2">
        <f>BDH("RVMDW US Equity","BS_CUR_ASSET_REPORT","1993-06-18","2026-05-02","Per=Y","Days=T","Dir=V")</f>
        <v>0</v>
      </c>
      <c r="O2">
        <f>BDH("RVMDW US Equity","BS_CUR_LIAB","1993-06-18","2026-05-02","Per=Y","Days=T","Dir=V")</f>
        <v>0</v>
      </c>
      <c r="Q2">
        <f>BDH("RVMDW US Equity","BS_SHAREHOLDER_EQY_ENDING_PERIOD","1993-06-18","2026-05-02","Per=Y","Days=T","Dir=V")</f>
        <v>0</v>
      </c>
      <c r="S2">
        <f>BDH("RVMDW US Equity","BS_ACCT_NOTE_RCV","1993-06-18","2026-05-02","Per=Y","Days=T","Dir=V")</f>
        <v>0</v>
      </c>
      <c r="U2">
        <f>BDH("RVMDW US Equity","BS_INVENTORIES","1993-06-18","2026-05-02","Per=Y","Days=T","Dir=V")</f>
        <v>0</v>
      </c>
      <c r="W2">
        <f>BDH("RVMDW US Equity","WORKING_CAPITAL","1993-06-18","2026-05-02","Per=Y","Days=T","Dir=V")</f>
        <v>0</v>
      </c>
      <c r="Y2">
        <f>BDH("RVMDW US Equity","SALES_REV_TURN","1993-06-18","2026-05-02","Per=Y","Days=T","Dir=V")</f>
        <v>0</v>
      </c>
      <c r="AA2">
        <f>BDH("RVMDW US Equity","EBIT","1993-06-18","2026-05-02","Per=Y","Days=T","Dir=V")</f>
        <v>0</v>
      </c>
      <c r="AC2">
        <f>BDH("RVMDW US Equity","EBITDA","1993-06-18","2026-05-02","Per=Y","Days=T","Dir=V")</f>
        <v>0</v>
      </c>
      <c r="AE2">
        <f>BDH("RVMDW US Equity","NET_INCOME","1993-06-18","2026-05-02","Per=Y","Days=T","Dir=V")</f>
        <v>0</v>
      </c>
      <c r="AG2">
        <f>BDH("RVMDW US Equity","IS_INT_EXPENSE","1993-06-18","2026-05-02","Per=Y","Days=T","Dir=V")</f>
        <v>0</v>
      </c>
      <c r="AI2">
        <f>BDH("RVMDW US Equity","IS_DEPR_EXP","1993-06-18","2026-05-02","Per=Y","Days=T","Dir=V")</f>
        <v>0</v>
      </c>
      <c r="AK2">
        <f>BDH("RVMDW US Equity","CF_CASH_FROM_OPER","1993-06-18","2026-05-02","Per=Y","Days=T","Dir=V")</f>
        <v>0</v>
      </c>
      <c r="AM2">
        <f>BDH("RVMDW US Equity","CAPITAL_EXPEND","1993-06-18","2026-05-02","Per=Y","Days=T","Dir=V")</f>
        <v>0</v>
      </c>
      <c r="AO2">
        <f>BDH("RVMDW US Equity","CF_FREE_CASH_FLOW","1993-06-18","2026-05-02","Per=Y","Days=T","Dir=V")</f>
        <v>0</v>
      </c>
      <c r="AQ2">
        <f>BDH("RVMDW US Equity","PX_LAST","1993-06-18","2026-05-02","Per=M","Days=T","Dir=V")</f>
        <v>0</v>
      </c>
      <c r="AS2">
        <f>BDH("RVMDW US Equity","CUR_MKT_CAP","1993-06-18","2026-05-02","Per=M","Days=T","Dir=V")</f>
        <v>0</v>
      </c>
      <c r="AU2">
        <f>BDH("RVMDW US Equity","EQY_SH_OUT","1993-06-18","2026-05-02","Per=M","Days=T","Dir=V")</f>
        <v>0</v>
      </c>
      <c r="AW2">
        <f>BDH("RVMDW US Equity","PX_VOLUME","1993-06-18","2026-05-02","Per=M","Days=T","Dir=V")</f>
        <v>0</v>
      </c>
      <c r="AY2">
        <f>BDH("RVMDW US Equity","TURNOVER","1993-06-18","2026-05-02","Per=M","Days=T","Dir=V")</f>
        <v>0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BDH("RVP US Equity","BS_TOT_ASSET","1993-06-18","2026-05-02","Per=Y","Days=T","Dir=V")</f>
        <v>0</v>
      </c>
      <c r="C2">
        <f>BDH("RVP US Equity","BS_TOT_LIAB2","1993-06-18","2026-05-02","Per=Y","Days=T","Dir=V")</f>
        <v>0</v>
      </c>
      <c r="E2">
        <f>BDH("RVP US Equity","SHORT_AND_LONG_TERM_DEBT","1993-06-18","2026-05-02","Per=Y","Days=T","Dir=V")</f>
        <v>0</v>
      </c>
      <c r="G2">
        <f>BDH("RVP US Equity","BS_ST_BORROW","1993-06-18","2026-05-02","Per=Y","Days=T","Dir=V")</f>
        <v>0</v>
      </c>
      <c r="I2">
        <f>BDH("RVP US Equity","BS_LT_BORROW","1993-06-18","2026-05-02","Per=Y","Days=T","Dir=V")</f>
        <v>0</v>
      </c>
      <c r="K2">
        <f>BDH("RVP US Equity","BS_CASH_NEAR_CASH_ITEM","1993-06-18","2026-05-02","Per=Y","Days=T","Dir=V")</f>
        <v>0</v>
      </c>
      <c r="M2">
        <f>BDH("RVP US Equity","BS_CUR_ASSET_REPORT","1993-06-18","2026-05-02","Per=Y","Days=T","Dir=V")</f>
        <v>0</v>
      </c>
      <c r="O2">
        <f>BDH("RVP US Equity","BS_CUR_LIAB","1993-06-18","2026-05-02","Per=Y","Days=T","Dir=V")</f>
        <v>0</v>
      </c>
      <c r="Q2">
        <f>BDH("RVP US Equity","BS_SHAREHOLDER_EQY_ENDING_PERIOD","1993-06-18","2026-05-02","Per=Y","Days=T","Dir=V")</f>
        <v>0</v>
      </c>
      <c r="S2">
        <f>BDH("RVP US Equity","BS_ACCT_NOTE_RCV","1993-06-18","2026-05-02","Per=Y","Days=T","Dir=V")</f>
        <v>0</v>
      </c>
      <c r="U2">
        <f>BDH("RVP US Equity","BS_INVENTORIES","1993-06-18","2026-05-02","Per=Y","Days=T","Dir=V")</f>
        <v>0</v>
      </c>
      <c r="W2">
        <f>BDH("RVP US Equity","WORKING_CAPITAL","1993-06-18","2026-05-02","Per=Y","Days=T","Dir=V")</f>
        <v>0</v>
      </c>
      <c r="Y2">
        <f>BDH("RVP US Equity","SALES_REV_TURN","1993-06-18","2026-05-02","Per=Y","Days=T","Dir=V")</f>
        <v>0</v>
      </c>
      <c r="AA2">
        <f>BDH("RVP US Equity","EBIT","1993-06-18","2026-05-02","Per=Y","Days=T","Dir=V")</f>
        <v>0</v>
      </c>
      <c r="AC2">
        <f>BDH("RVP US Equity","EBITDA","1993-06-18","2026-05-02","Per=Y","Days=T","Dir=V")</f>
        <v>0</v>
      </c>
      <c r="AE2">
        <f>BDH("RVP US Equity","NET_INCOME","1993-06-18","2026-05-02","Per=Y","Days=T","Dir=V")</f>
        <v>0</v>
      </c>
      <c r="AG2">
        <f>BDH("RVP US Equity","IS_INT_EXPENSE","1993-06-18","2026-05-02","Per=Y","Days=T","Dir=V")</f>
        <v>0</v>
      </c>
      <c r="AI2">
        <f>BDH("RVP US Equity","IS_DEPR_EXP","1993-06-18","2026-05-02","Per=Y","Days=T","Dir=V")</f>
        <v>0</v>
      </c>
      <c r="AK2">
        <f>BDH("RVP US Equity","CF_CASH_FROM_OPER","1993-06-18","2026-05-02","Per=Y","Days=T","Dir=V")</f>
        <v>0</v>
      </c>
      <c r="AM2">
        <f>BDH("RVP US Equity","CAPITAL_EXPEND","1993-06-18","2026-05-02","Per=Y","Days=T","Dir=V")</f>
        <v>0</v>
      </c>
      <c r="AO2">
        <f>BDH("RVP US Equity","CF_FREE_CASH_FLOW","1993-06-18","2026-05-02","Per=Y","Days=T","Dir=V")</f>
        <v>0</v>
      </c>
      <c r="AQ2">
        <f>BDH("RVP US Equity","PX_LAST","1993-06-18","2026-05-02","Per=M","Days=T","Dir=V")</f>
        <v>0</v>
      </c>
      <c r="AS2">
        <f>BDH("RVP US Equity","CUR_MKT_CAP","1993-06-18","2026-05-02","Per=M","Days=T","Dir=V")</f>
        <v>0</v>
      </c>
      <c r="AU2">
        <f>BDH("RVP US Equity","EQY_SH_OUT","1993-06-18","2026-05-02","Per=M","Days=T","Dir=V")</f>
        <v>0</v>
      </c>
      <c r="AW2">
        <f>BDH("RVP US Equity","PX_VOLUME","1993-06-18","2026-05-02","Per=M","Days=T","Dir=V")</f>
        <v>0</v>
      </c>
      <c r="AY2">
        <f>BDH("RVP US Equity","TURNOVER","1993-06-18","2026-05-02","Per=M","Days=T","Dir=V")</f>
        <v>0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BDH("RVTY US Equity","BS_TOT_ASSET","1993-06-18","2026-05-02","Per=Y","Days=T","Dir=V")</f>
        <v>0</v>
      </c>
      <c r="C2">
        <f>BDH("RVTY US Equity","BS_TOT_LIAB2","1993-06-18","2026-05-02","Per=Y","Days=T","Dir=V")</f>
        <v>0</v>
      </c>
      <c r="E2">
        <f>BDH("RVTY US Equity","SHORT_AND_LONG_TERM_DEBT","1993-06-18","2026-05-02","Per=Y","Days=T","Dir=V")</f>
        <v>0</v>
      </c>
      <c r="G2">
        <f>BDH("RVTY US Equity","BS_ST_BORROW","1993-06-18","2026-05-02","Per=Y","Days=T","Dir=V")</f>
        <v>0</v>
      </c>
      <c r="I2">
        <f>BDH("RVTY US Equity","BS_LT_BORROW","1993-06-18","2026-05-02","Per=Y","Days=T","Dir=V")</f>
        <v>0</v>
      </c>
      <c r="K2">
        <f>BDH("RVTY US Equity","BS_CASH_NEAR_CASH_ITEM","1993-06-18","2026-05-02","Per=Y","Days=T","Dir=V")</f>
        <v>0</v>
      </c>
      <c r="M2">
        <f>BDH("RVTY US Equity","BS_CUR_ASSET_REPORT","1993-06-18","2026-05-02","Per=Y","Days=T","Dir=V")</f>
        <v>0</v>
      </c>
      <c r="O2">
        <f>BDH("RVTY US Equity","BS_CUR_LIAB","1993-06-18","2026-05-02","Per=Y","Days=T","Dir=V")</f>
        <v>0</v>
      </c>
      <c r="Q2">
        <f>BDH("RVTY US Equity","BS_SHAREHOLDER_EQY_ENDING_PERIOD","1993-06-18","2026-05-02","Per=Y","Days=T","Dir=V")</f>
        <v>0</v>
      </c>
      <c r="S2">
        <f>BDH("RVTY US Equity","BS_ACCT_NOTE_RCV","1993-06-18","2026-05-02","Per=Y","Days=T","Dir=V")</f>
        <v>0</v>
      </c>
      <c r="U2">
        <f>BDH("RVTY US Equity","BS_INVENTORIES","1993-06-18","2026-05-02","Per=Y","Days=T","Dir=V")</f>
        <v>0</v>
      </c>
      <c r="W2">
        <f>BDH("RVTY US Equity","WORKING_CAPITAL","1993-06-18","2026-05-02","Per=Y","Days=T","Dir=V")</f>
        <v>0</v>
      </c>
      <c r="Y2">
        <f>BDH("RVTY US Equity","SALES_REV_TURN","1993-06-18","2026-05-02","Per=Y","Days=T","Dir=V")</f>
        <v>0</v>
      </c>
      <c r="AA2">
        <f>BDH("RVTY US Equity","EBIT","1993-06-18","2026-05-02","Per=Y","Days=T","Dir=V")</f>
        <v>0</v>
      </c>
      <c r="AC2">
        <f>BDH("RVTY US Equity","EBITDA","1993-06-18","2026-05-02","Per=Y","Days=T","Dir=V")</f>
        <v>0</v>
      </c>
      <c r="AE2">
        <f>BDH("RVTY US Equity","NET_INCOME","1993-06-18","2026-05-02","Per=Y","Days=T","Dir=V")</f>
        <v>0</v>
      </c>
      <c r="AG2">
        <f>BDH("RVTY US Equity","IS_INT_EXPENSE","1993-06-18","2026-05-02","Per=Y","Days=T","Dir=V")</f>
        <v>0</v>
      </c>
      <c r="AI2">
        <f>BDH("RVTY US Equity","IS_DEPR_EXP","1993-06-18","2026-05-02","Per=Y","Days=T","Dir=V")</f>
        <v>0</v>
      </c>
      <c r="AK2">
        <f>BDH("RVTY US Equity","CF_CASH_FROM_OPER","1993-06-18","2026-05-02","Per=Y","Days=T","Dir=V")</f>
        <v>0</v>
      </c>
      <c r="AM2">
        <f>BDH("RVTY US Equity","CAPITAL_EXPEND","1993-06-18","2026-05-02","Per=Y","Days=T","Dir=V")</f>
        <v>0</v>
      </c>
      <c r="AO2">
        <f>BDH("RVTY US Equity","CF_FREE_CASH_FLOW","1993-06-18","2026-05-02","Per=Y","Days=T","Dir=V")</f>
        <v>0</v>
      </c>
      <c r="AQ2">
        <f>BDH("RVTY US Equity","PX_LAST","1993-06-18","2026-05-02","Per=M","Days=T","Dir=V")</f>
        <v>0</v>
      </c>
      <c r="AS2">
        <f>BDH("RVTY US Equity","CUR_MKT_CAP","1993-06-18","2026-05-02","Per=M","Days=T","Dir=V")</f>
        <v>0</v>
      </c>
      <c r="AU2">
        <f>BDH("RVTY US Equity","EQY_SH_OUT","1993-06-18","2026-05-02","Per=M","Days=T","Dir=V")</f>
        <v>0</v>
      </c>
      <c r="AW2">
        <f>BDH("RVTY US Equity","PX_VOLUME","1993-06-18","2026-05-02","Per=M","Days=T","Dir=V")</f>
        <v>0</v>
      </c>
      <c r="AY2">
        <f>BDH("RVTY US Equity","TURNOVER","1993-06-18","2026-05-02","Per=M","Days=T","Dir=V")</f>
        <v>0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BDH("RXO US Equity","BS_TOT_ASSET","1993-06-18","2026-05-02","Per=Y","Days=T","Dir=V")</f>
        <v>0</v>
      </c>
      <c r="C2">
        <f>BDH("RXO US Equity","BS_TOT_LIAB2","1993-06-18","2026-05-02","Per=Y","Days=T","Dir=V")</f>
        <v>0</v>
      </c>
      <c r="E2">
        <f>BDH("RXO US Equity","SHORT_AND_LONG_TERM_DEBT","1993-06-18","2026-05-02","Per=Y","Days=T","Dir=V")</f>
        <v>0</v>
      </c>
      <c r="G2">
        <f>BDH("RXO US Equity","BS_ST_BORROW","1993-06-18","2026-05-02","Per=Y","Days=T","Dir=V")</f>
        <v>0</v>
      </c>
      <c r="I2">
        <f>BDH("RXO US Equity","BS_LT_BORROW","1993-06-18","2026-05-02","Per=Y","Days=T","Dir=V")</f>
        <v>0</v>
      </c>
      <c r="K2">
        <f>BDH("RXO US Equity","BS_CASH_NEAR_CASH_ITEM","1993-06-18","2026-05-02","Per=Y","Days=T","Dir=V")</f>
        <v>0</v>
      </c>
      <c r="M2">
        <f>BDH("RXO US Equity","BS_CUR_ASSET_REPORT","1993-06-18","2026-05-02","Per=Y","Days=T","Dir=V")</f>
        <v>0</v>
      </c>
      <c r="O2">
        <f>BDH("RXO US Equity","BS_CUR_LIAB","1993-06-18","2026-05-02","Per=Y","Days=T","Dir=V")</f>
        <v>0</v>
      </c>
      <c r="Q2">
        <f>BDH("RXO US Equity","BS_SHAREHOLDER_EQY_ENDING_PERIOD","1993-06-18","2026-05-02","Per=Y","Days=T","Dir=V")</f>
        <v>0</v>
      </c>
      <c r="S2">
        <f>BDH("RXO US Equity","BS_ACCT_NOTE_RCV","1993-06-18","2026-05-02","Per=Y","Days=T","Dir=V")</f>
        <v>0</v>
      </c>
      <c r="U2">
        <f>BDH("RXO US Equity","BS_INVENTORIES","1993-06-18","2026-05-02","Per=Y","Days=T","Dir=V")</f>
        <v>0</v>
      </c>
      <c r="W2">
        <f>BDH("RXO US Equity","WORKING_CAPITAL","1993-06-18","2026-05-02","Per=Y","Days=T","Dir=V")</f>
        <v>0</v>
      </c>
      <c r="Y2">
        <f>BDH("RXO US Equity","SALES_REV_TURN","1993-06-18","2026-05-02","Per=Y","Days=T","Dir=V")</f>
        <v>0</v>
      </c>
      <c r="AA2">
        <f>BDH("RXO US Equity","EBIT","1993-06-18","2026-05-02","Per=Y","Days=T","Dir=V")</f>
        <v>0</v>
      </c>
      <c r="AC2">
        <f>BDH("RXO US Equity","EBITDA","1993-06-18","2026-05-02","Per=Y","Days=T","Dir=V")</f>
        <v>0</v>
      </c>
      <c r="AE2">
        <f>BDH("RXO US Equity","NET_INCOME","1993-06-18","2026-05-02","Per=Y","Days=T","Dir=V")</f>
        <v>0</v>
      </c>
      <c r="AG2">
        <f>BDH("RXO US Equity","IS_INT_EXPENSE","1993-06-18","2026-05-02","Per=Y","Days=T","Dir=V")</f>
        <v>0</v>
      </c>
      <c r="AI2">
        <f>BDH("RXO US Equity","IS_DEPR_EXP","1993-06-18","2026-05-02","Per=Y","Days=T","Dir=V")</f>
        <v>0</v>
      </c>
      <c r="AK2">
        <f>BDH("RXO US Equity","CF_CASH_FROM_OPER","1993-06-18","2026-05-02","Per=Y","Days=T","Dir=V")</f>
        <v>0</v>
      </c>
      <c r="AM2">
        <f>BDH("RXO US Equity","CAPITAL_EXPEND","1993-06-18","2026-05-02","Per=Y","Days=T","Dir=V")</f>
        <v>0</v>
      </c>
      <c r="AO2">
        <f>BDH("RXO US Equity","CF_FREE_CASH_FLOW","1993-06-18","2026-05-02","Per=Y","Days=T","Dir=V")</f>
        <v>0</v>
      </c>
      <c r="AQ2">
        <f>BDH("RXO US Equity","PX_LAST","1993-06-18","2026-05-02","Per=M","Days=T","Dir=V")</f>
        <v>0</v>
      </c>
      <c r="AS2">
        <f>BDH("RXO US Equity","CUR_MKT_CAP","1993-06-18","2026-05-02","Per=M","Days=T","Dir=V")</f>
        <v>0</v>
      </c>
      <c r="AU2">
        <f>BDH("RXO US Equity","EQY_SH_OUT","1993-06-18","2026-05-02","Per=M","Days=T","Dir=V")</f>
        <v>0</v>
      </c>
      <c r="AW2">
        <f>BDH("RXO US Equity","PX_VOLUME","1993-06-18","2026-05-02","Per=M","Days=T","Dir=V")</f>
        <v>0</v>
      </c>
      <c r="AY2">
        <f>BDH("RXO US Equity","TURNOVER","1993-06-18","2026-05-02","Per=M","Days=T","Dir=V")</f>
        <v>0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BDH("RXRX US Equity","BS_TOT_ASSET","1993-06-18","2026-05-02","Per=Y","Days=T","Dir=V")</f>
        <v>0</v>
      </c>
      <c r="C2">
        <f>BDH("RXRX US Equity","BS_TOT_LIAB2","1993-06-18","2026-05-02","Per=Y","Days=T","Dir=V")</f>
        <v>0</v>
      </c>
      <c r="E2">
        <f>BDH("RXRX US Equity","SHORT_AND_LONG_TERM_DEBT","1993-06-18","2026-05-02","Per=Y","Days=T","Dir=V")</f>
        <v>0</v>
      </c>
      <c r="G2">
        <f>BDH("RXRX US Equity","BS_ST_BORROW","1993-06-18","2026-05-02","Per=Y","Days=T","Dir=V")</f>
        <v>0</v>
      </c>
      <c r="I2">
        <f>BDH("RXRX US Equity","BS_LT_BORROW","1993-06-18","2026-05-02","Per=Y","Days=T","Dir=V")</f>
        <v>0</v>
      </c>
      <c r="K2">
        <f>BDH("RXRX US Equity","BS_CASH_NEAR_CASH_ITEM","1993-06-18","2026-05-02","Per=Y","Days=T","Dir=V")</f>
        <v>0</v>
      </c>
      <c r="M2">
        <f>BDH("RXRX US Equity","BS_CUR_ASSET_REPORT","1993-06-18","2026-05-02","Per=Y","Days=T","Dir=V")</f>
        <v>0</v>
      </c>
      <c r="O2">
        <f>BDH("RXRX US Equity","BS_CUR_LIAB","1993-06-18","2026-05-02","Per=Y","Days=T","Dir=V")</f>
        <v>0</v>
      </c>
      <c r="Q2">
        <f>BDH("RXRX US Equity","BS_SHAREHOLDER_EQY_ENDING_PERIOD","1993-06-18","2026-05-02","Per=Y","Days=T","Dir=V")</f>
        <v>0</v>
      </c>
      <c r="S2">
        <f>BDH("RXRX US Equity","BS_ACCT_NOTE_RCV","1993-06-18","2026-05-02","Per=Y","Days=T","Dir=V")</f>
        <v>0</v>
      </c>
      <c r="U2">
        <f>BDH("RXRX US Equity","BS_INVENTORIES","1993-06-18","2026-05-02","Per=Y","Days=T","Dir=V")</f>
        <v>0</v>
      </c>
      <c r="W2">
        <f>BDH("RXRX US Equity","WORKING_CAPITAL","1993-06-18","2026-05-02","Per=Y","Days=T","Dir=V")</f>
        <v>0</v>
      </c>
      <c r="Y2">
        <f>BDH("RXRX US Equity","SALES_REV_TURN","1993-06-18","2026-05-02","Per=Y","Days=T","Dir=V")</f>
        <v>0</v>
      </c>
      <c r="AA2">
        <f>BDH("RXRX US Equity","EBIT","1993-06-18","2026-05-02","Per=Y","Days=T","Dir=V")</f>
        <v>0</v>
      </c>
      <c r="AC2">
        <f>BDH("RXRX US Equity","EBITDA","1993-06-18","2026-05-02","Per=Y","Days=T","Dir=V")</f>
        <v>0</v>
      </c>
      <c r="AE2">
        <f>BDH("RXRX US Equity","NET_INCOME","1993-06-18","2026-05-02","Per=Y","Days=T","Dir=V")</f>
        <v>0</v>
      </c>
      <c r="AG2">
        <f>BDH("RXRX US Equity","IS_INT_EXPENSE","1993-06-18","2026-05-02","Per=Y","Days=T","Dir=V")</f>
        <v>0</v>
      </c>
      <c r="AI2">
        <f>BDH("RXRX US Equity","IS_DEPR_EXP","1993-06-18","2026-05-02","Per=Y","Days=T","Dir=V")</f>
        <v>0</v>
      </c>
      <c r="AK2">
        <f>BDH("RXRX US Equity","CF_CASH_FROM_OPER","1993-06-18","2026-05-02","Per=Y","Days=T","Dir=V")</f>
        <v>0</v>
      </c>
      <c r="AM2">
        <f>BDH("RXRX US Equity","CAPITAL_EXPEND","1993-06-18","2026-05-02","Per=Y","Days=T","Dir=V")</f>
        <v>0</v>
      </c>
      <c r="AO2">
        <f>BDH("RXRX US Equity","CF_FREE_CASH_FLOW","1993-06-18","2026-05-02","Per=Y","Days=T","Dir=V")</f>
        <v>0</v>
      </c>
      <c r="AQ2">
        <f>BDH("RXRX US Equity","PX_LAST","1993-06-18","2026-05-02","Per=M","Days=T","Dir=V")</f>
        <v>0</v>
      </c>
      <c r="AS2">
        <f>BDH("RXRX US Equity","CUR_MKT_CAP","1993-06-18","2026-05-02","Per=M","Days=T","Dir=V")</f>
        <v>0</v>
      </c>
      <c r="AU2">
        <f>BDH("RXRX US Equity","EQY_SH_OUT","1993-06-18","2026-05-02","Per=M","Days=T","Dir=V")</f>
        <v>0</v>
      </c>
      <c r="AW2">
        <f>BDH("RXRX US Equity","PX_VOLUME","1993-06-18","2026-05-02","Per=M","Days=T","Dir=V")</f>
        <v>0</v>
      </c>
      <c r="AY2">
        <f>BDH("RXRX US Equity","TURNOVER","1993-06-18","2026-05-02","Per=M","Days=T","Dir=V")</f>
        <v>0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BDH("RXST US Equity","BS_TOT_ASSET","1993-06-18","2026-05-02","Per=Y","Days=T","Dir=V")</f>
        <v>0</v>
      </c>
      <c r="C2">
        <f>BDH("RXST US Equity","BS_TOT_LIAB2","1993-06-18","2026-05-02","Per=Y","Days=T","Dir=V")</f>
        <v>0</v>
      </c>
      <c r="E2">
        <f>BDH("RXST US Equity","SHORT_AND_LONG_TERM_DEBT","1993-06-18","2026-05-02","Per=Y","Days=T","Dir=V")</f>
        <v>0</v>
      </c>
      <c r="G2">
        <f>BDH("RXST US Equity","BS_ST_BORROW","1993-06-18","2026-05-02","Per=Y","Days=T","Dir=V")</f>
        <v>0</v>
      </c>
      <c r="I2">
        <f>BDH("RXST US Equity","BS_LT_BORROW","1993-06-18","2026-05-02","Per=Y","Days=T","Dir=V")</f>
        <v>0</v>
      </c>
      <c r="K2">
        <f>BDH("RXST US Equity","BS_CASH_NEAR_CASH_ITEM","1993-06-18","2026-05-02","Per=Y","Days=T","Dir=V")</f>
        <v>0</v>
      </c>
      <c r="M2">
        <f>BDH("RXST US Equity","BS_CUR_ASSET_REPORT","1993-06-18","2026-05-02","Per=Y","Days=T","Dir=V")</f>
        <v>0</v>
      </c>
      <c r="O2">
        <f>BDH("RXST US Equity","BS_CUR_LIAB","1993-06-18","2026-05-02","Per=Y","Days=T","Dir=V")</f>
        <v>0</v>
      </c>
      <c r="Q2">
        <f>BDH("RXST US Equity","BS_SHAREHOLDER_EQY_ENDING_PERIOD","1993-06-18","2026-05-02","Per=Y","Days=T","Dir=V")</f>
        <v>0</v>
      </c>
      <c r="S2">
        <f>BDH("RXST US Equity","BS_ACCT_NOTE_RCV","1993-06-18","2026-05-02","Per=Y","Days=T","Dir=V")</f>
        <v>0</v>
      </c>
      <c r="U2">
        <f>BDH("RXST US Equity","BS_INVENTORIES","1993-06-18","2026-05-02","Per=Y","Days=T","Dir=V")</f>
        <v>0</v>
      </c>
      <c r="W2">
        <f>BDH("RXST US Equity","WORKING_CAPITAL","1993-06-18","2026-05-02","Per=Y","Days=T","Dir=V")</f>
        <v>0</v>
      </c>
      <c r="Y2">
        <f>BDH("RXST US Equity","SALES_REV_TURN","1993-06-18","2026-05-02","Per=Y","Days=T","Dir=V")</f>
        <v>0</v>
      </c>
      <c r="AA2">
        <f>BDH("RXST US Equity","EBIT","1993-06-18","2026-05-02","Per=Y","Days=T","Dir=V")</f>
        <v>0</v>
      </c>
      <c r="AC2">
        <f>BDH("RXST US Equity","EBITDA","1993-06-18","2026-05-02","Per=Y","Days=T","Dir=V")</f>
        <v>0</v>
      </c>
      <c r="AE2">
        <f>BDH("RXST US Equity","NET_INCOME","1993-06-18","2026-05-02","Per=Y","Days=T","Dir=V")</f>
        <v>0</v>
      </c>
      <c r="AG2">
        <f>BDH("RXST US Equity","IS_INT_EXPENSE","1993-06-18","2026-05-02","Per=Y","Days=T","Dir=V")</f>
        <v>0</v>
      </c>
      <c r="AI2">
        <f>BDH("RXST US Equity","IS_DEPR_EXP","1993-06-18","2026-05-02","Per=Y","Days=T","Dir=V")</f>
        <v>0</v>
      </c>
      <c r="AK2">
        <f>BDH("RXST US Equity","CF_CASH_FROM_OPER","1993-06-18","2026-05-02","Per=Y","Days=T","Dir=V")</f>
        <v>0</v>
      </c>
      <c r="AM2">
        <f>BDH("RXST US Equity","CAPITAL_EXPEND","1993-06-18","2026-05-02","Per=Y","Days=T","Dir=V")</f>
        <v>0</v>
      </c>
      <c r="AO2">
        <f>BDH("RXST US Equity","CF_FREE_CASH_FLOW","1993-06-18","2026-05-02","Per=Y","Days=T","Dir=V")</f>
        <v>0</v>
      </c>
      <c r="AQ2">
        <f>BDH("RXST US Equity","PX_LAST","1993-06-18","2026-05-02","Per=M","Days=T","Dir=V")</f>
        <v>0</v>
      </c>
      <c r="AS2">
        <f>BDH("RXST US Equity","CUR_MKT_CAP","1993-06-18","2026-05-02","Per=M","Days=T","Dir=V")</f>
        <v>0</v>
      </c>
      <c r="AU2">
        <f>BDH("RXST US Equity","EQY_SH_OUT","1993-06-18","2026-05-02","Per=M","Days=T","Dir=V")</f>
        <v>0</v>
      </c>
      <c r="AW2">
        <f>BDH("RXST US Equity","PX_VOLUME","1993-06-18","2026-05-02","Per=M","Days=T","Dir=V")</f>
        <v>0</v>
      </c>
      <c r="AY2">
        <f>BDH("RXST US Equity","TURNOVER","1993-06-18","2026-05-02","Per=M","Days=T","Dir=V")</f>
        <v>0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BDH("RXT US Equity","BS_TOT_ASSET","1993-06-18","2026-05-02","Per=Y","Days=T","Dir=V")</f>
        <v>0</v>
      </c>
      <c r="C2">
        <f>BDH("RXT US Equity","BS_TOT_LIAB2","1993-06-18","2026-05-02","Per=Y","Days=T","Dir=V")</f>
        <v>0</v>
      </c>
      <c r="E2">
        <f>BDH("RXT US Equity","SHORT_AND_LONG_TERM_DEBT","1993-06-18","2026-05-02","Per=Y","Days=T","Dir=V")</f>
        <v>0</v>
      </c>
      <c r="G2">
        <f>BDH("RXT US Equity","BS_ST_BORROW","1993-06-18","2026-05-02","Per=Y","Days=T","Dir=V")</f>
        <v>0</v>
      </c>
      <c r="I2">
        <f>BDH("RXT US Equity","BS_LT_BORROW","1993-06-18","2026-05-02","Per=Y","Days=T","Dir=V")</f>
        <v>0</v>
      </c>
      <c r="K2">
        <f>BDH("RXT US Equity","BS_CASH_NEAR_CASH_ITEM","1993-06-18","2026-05-02","Per=Y","Days=T","Dir=V")</f>
        <v>0</v>
      </c>
      <c r="M2">
        <f>BDH("RXT US Equity","BS_CUR_ASSET_REPORT","1993-06-18","2026-05-02","Per=Y","Days=T","Dir=V")</f>
        <v>0</v>
      </c>
      <c r="O2">
        <f>BDH("RXT US Equity","BS_CUR_LIAB","1993-06-18","2026-05-02","Per=Y","Days=T","Dir=V")</f>
        <v>0</v>
      </c>
      <c r="Q2">
        <f>BDH("RXT US Equity","BS_SHAREHOLDER_EQY_ENDING_PERIOD","1993-06-18","2026-05-02","Per=Y","Days=T","Dir=V")</f>
        <v>0</v>
      </c>
      <c r="S2">
        <f>BDH("RXT US Equity","BS_ACCT_NOTE_RCV","1993-06-18","2026-05-02","Per=Y","Days=T","Dir=V")</f>
        <v>0</v>
      </c>
      <c r="U2">
        <f>BDH("RXT US Equity","BS_INVENTORIES","1993-06-18","2026-05-02","Per=Y","Days=T","Dir=V")</f>
        <v>0</v>
      </c>
      <c r="W2">
        <f>BDH("RXT US Equity","WORKING_CAPITAL","1993-06-18","2026-05-02","Per=Y","Days=T","Dir=V")</f>
        <v>0</v>
      </c>
      <c r="Y2">
        <f>BDH("RXT US Equity","SALES_REV_TURN","1993-06-18","2026-05-02","Per=Y","Days=T","Dir=V")</f>
        <v>0</v>
      </c>
      <c r="AA2">
        <f>BDH("RXT US Equity","EBIT","1993-06-18","2026-05-02","Per=Y","Days=T","Dir=V")</f>
        <v>0</v>
      </c>
      <c r="AC2">
        <f>BDH("RXT US Equity","EBITDA","1993-06-18","2026-05-02","Per=Y","Days=T","Dir=V")</f>
        <v>0</v>
      </c>
      <c r="AE2">
        <f>BDH("RXT US Equity","NET_INCOME","1993-06-18","2026-05-02","Per=Y","Days=T","Dir=V")</f>
        <v>0</v>
      </c>
      <c r="AG2">
        <f>BDH("RXT US Equity","IS_INT_EXPENSE","1993-06-18","2026-05-02","Per=Y","Days=T","Dir=V")</f>
        <v>0</v>
      </c>
      <c r="AI2">
        <f>BDH("RXT US Equity","IS_DEPR_EXP","1993-06-18","2026-05-02","Per=Y","Days=T","Dir=V")</f>
        <v>0</v>
      </c>
      <c r="AK2">
        <f>BDH("RXT US Equity","CF_CASH_FROM_OPER","1993-06-18","2026-05-02","Per=Y","Days=T","Dir=V")</f>
        <v>0</v>
      </c>
      <c r="AM2">
        <f>BDH("RXT US Equity","CAPITAL_EXPEND","1993-06-18","2026-05-02","Per=Y","Days=T","Dir=V")</f>
        <v>0</v>
      </c>
      <c r="AO2">
        <f>BDH("RXT US Equity","CF_FREE_CASH_FLOW","1993-06-18","2026-05-02","Per=Y","Days=T","Dir=V")</f>
        <v>0</v>
      </c>
      <c r="AQ2">
        <f>BDH("RXT US Equity","PX_LAST","1993-06-18","2026-05-02","Per=M","Days=T","Dir=V")</f>
        <v>0</v>
      </c>
      <c r="AS2">
        <f>BDH("RXT US Equity","CUR_MKT_CAP","1993-06-18","2026-05-02","Per=M","Days=T","Dir=V")</f>
        <v>0</v>
      </c>
      <c r="AU2">
        <f>BDH("RXT US Equity","EQY_SH_OUT","1993-06-18","2026-05-02","Per=M","Days=T","Dir=V")</f>
        <v>0</v>
      </c>
      <c r="AW2">
        <f>BDH("RXT US Equity","PX_VOLUME","1993-06-18","2026-05-02","Per=M","Days=T","Dir=V")</f>
        <v>0</v>
      </c>
      <c r="AY2">
        <f>BDH("RXT US Equity","TURNOVER","1993-06-18","2026-05-02","Per=M","Days=T","Dir=V")</f>
        <v>0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BDH("RYAM US Equity","BS_TOT_ASSET","1993-06-18","2026-05-02","Per=Y","Days=T","Dir=V")</f>
        <v>0</v>
      </c>
      <c r="C2">
        <f>BDH("RYAM US Equity","BS_TOT_LIAB2","1993-06-18","2026-05-02","Per=Y","Days=T","Dir=V")</f>
        <v>0</v>
      </c>
      <c r="E2">
        <f>BDH("RYAM US Equity","SHORT_AND_LONG_TERM_DEBT","1993-06-18","2026-05-02","Per=Y","Days=T","Dir=V")</f>
        <v>0</v>
      </c>
      <c r="G2">
        <f>BDH("RYAM US Equity","BS_ST_BORROW","1993-06-18","2026-05-02","Per=Y","Days=T","Dir=V")</f>
        <v>0</v>
      </c>
      <c r="I2">
        <f>BDH("RYAM US Equity","BS_LT_BORROW","1993-06-18","2026-05-02","Per=Y","Days=T","Dir=V")</f>
        <v>0</v>
      </c>
      <c r="K2">
        <f>BDH("RYAM US Equity","BS_CASH_NEAR_CASH_ITEM","1993-06-18","2026-05-02","Per=Y","Days=T","Dir=V")</f>
        <v>0</v>
      </c>
      <c r="M2">
        <f>BDH("RYAM US Equity","BS_CUR_ASSET_REPORT","1993-06-18","2026-05-02","Per=Y","Days=T","Dir=V")</f>
        <v>0</v>
      </c>
      <c r="O2">
        <f>BDH("RYAM US Equity","BS_CUR_LIAB","1993-06-18","2026-05-02","Per=Y","Days=T","Dir=V")</f>
        <v>0</v>
      </c>
      <c r="Q2">
        <f>BDH("RYAM US Equity","BS_SHAREHOLDER_EQY_ENDING_PERIOD","1993-06-18","2026-05-02","Per=Y","Days=T","Dir=V")</f>
        <v>0</v>
      </c>
      <c r="S2">
        <f>BDH("RYAM US Equity","BS_ACCT_NOTE_RCV","1993-06-18","2026-05-02","Per=Y","Days=T","Dir=V")</f>
        <v>0</v>
      </c>
      <c r="U2">
        <f>BDH("RYAM US Equity","BS_INVENTORIES","1993-06-18","2026-05-02","Per=Y","Days=T","Dir=V")</f>
        <v>0</v>
      </c>
      <c r="W2">
        <f>BDH("RYAM US Equity","WORKING_CAPITAL","1993-06-18","2026-05-02","Per=Y","Days=T","Dir=V")</f>
        <v>0</v>
      </c>
      <c r="Y2">
        <f>BDH("RYAM US Equity","SALES_REV_TURN","1993-06-18","2026-05-02","Per=Y","Days=T","Dir=V")</f>
        <v>0</v>
      </c>
      <c r="AA2">
        <f>BDH("RYAM US Equity","EBIT","1993-06-18","2026-05-02","Per=Y","Days=T","Dir=V")</f>
        <v>0</v>
      </c>
      <c r="AC2">
        <f>BDH("RYAM US Equity","EBITDA","1993-06-18","2026-05-02","Per=Y","Days=T","Dir=V")</f>
        <v>0</v>
      </c>
      <c r="AE2">
        <f>BDH("RYAM US Equity","NET_INCOME","1993-06-18","2026-05-02","Per=Y","Days=T","Dir=V")</f>
        <v>0</v>
      </c>
      <c r="AG2">
        <f>BDH("RYAM US Equity","IS_INT_EXPENSE","1993-06-18","2026-05-02","Per=Y","Days=T","Dir=V")</f>
        <v>0</v>
      </c>
      <c r="AI2">
        <f>BDH("RYAM US Equity","IS_DEPR_EXP","1993-06-18","2026-05-02","Per=Y","Days=T","Dir=V")</f>
        <v>0</v>
      </c>
      <c r="AK2">
        <f>BDH("RYAM US Equity","CF_CASH_FROM_OPER","1993-06-18","2026-05-02","Per=Y","Days=T","Dir=V")</f>
        <v>0</v>
      </c>
      <c r="AM2">
        <f>BDH("RYAM US Equity","CAPITAL_EXPEND","1993-06-18","2026-05-02","Per=Y","Days=T","Dir=V")</f>
        <v>0</v>
      </c>
      <c r="AO2">
        <f>BDH("RYAM US Equity","CF_FREE_CASH_FLOW","1993-06-18","2026-05-02","Per=Y","Days=T","Dir=V")</f>
        <v>0</v>
      </c>
      <c r="AQ2">
        <f>BDH("RYAM US Equity","PX_LAST","1993-06-18","2026-05-02","Per=M","Days=T","Dir=V")</f>
        <v>0</v>
      </c>
      <c r="AS2">
        <f>BDH("RYAM US Equity","CUR_MKT_CAP","1993-06-18","2026-05-02","Per=M","Days=T","Dir=V")</f>
        <v>0</v>
      </c>
      <c r="AU2">
        <f>BDH("RYAM US Equity","EQY_SH_OUT","1993-06-18","2026-05-02","Per=M","Days=T","Dir=V")</f>
        <v>0</v>
      </c>
      <c r="AW2">
        <f>BDH("RYAM US Equity","PX_VOLUME","1993-06-18","2026-05-02","Per=M","Days=T","Dir=V")</f>
        <v>0</v>
      </c>
      <c r="AY2">
        <f>BDH("RYAM US Equity","TURNOVER","1993-06-18","2026-05-02","Per=M","Days=T","Dir=V")</f>
        <v>0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BDH("RYM US Equity","BS_TOT_ASSET","1993-06-18","2026-05-02","Per=Y","Days=T","Dir=V")</f>
        <v>0</v>
      </c>
      <c r="C2">
        <f>BDH("RYM US Equity","BS_TOT_LIAB2","1993-06-18","2026-05-02","Per=Y","Days=T","Dir=V")</f>
        <v>0</v>
      </c>
      <c r="E2">
        <f>BDH("RYM US Equity","SHORT_AND_LONG_TERM_DEBT","1993-06-18","2026-05-02","Per=Y","Days=T","Dir=V")</f>
        <v>0</v>
      </c>
      <c r="G2">
        <f>BDH("RYM US Equity","BS_ST_BORROW","1993-06-18","2026-05-02","Per=Y","Days=T","Dir=V")</f>
        <v>0</v>
      </c>
      <c r="I2">
        <f>BDH("RYM US Equity","BS_LT_BORROW","1993-06-18","2026-05-02","Per=Y","Days=T","Dir=V")</f>
        <v>0</v>
      </c>
      <c r="K2">
        <f>BDH("RYM US Equity","BS_CASH_NEAR_CASH_ITEM","1993-06-18","2026-05-02","Per=Y","Days=T","Dir=V")</f>
        <v>0</v>
      </c>
      <c r="M2">
        <f>BDH("RYM US Equity","BS_CUR_ASSET_REPORT","1993-06-18","2026-05-02","Per=Y","Days=T","Dir=V")</f>
        <v>0</v>
      </c>
      <c r="O2">
        <f>BDH("RYM US Equity","BS_CUR_LIAB","1993-06-18","2026-05-02","Per=Y","Days=T","Dir=V")</f>
        <v>0</v>
      </c>
      <c r="Q2">
        <f>BDH("RYM US Equity","BS_SHAREHOLDER_EQY_ENDING_PERIOD","1993-06-18","2026-05-02","Per=Y","Days=T","Dir=V")</f>
        <v>0</v>
      </c>
      <c r="S2">
        <f>BDH("RYM US Equity","BS_ACCT_NOTE_RCV","1993-06-18","2026-05-02","Per=Y","Days=T","Dir=V")</f>
        <v>0</v>
      </c>
      <c r="U2">
        <f>BDH("RYM US Equity","BS_INVENTORIES","1993-06-18","2026-05-02","Per=Y","Days=T","Dir=V")</f>
        <v>0</v>
      </c>
      <c r="W2">
        <f>BDH("RYM US Equity","WORKING_CAPITAL","1993-06-18","2026-05-02","Per=Y","Days=T","Dir=V")</f>
        <v>0</v>
      </c>
      <c r="Y2">
        <f>BDH("RYM US Equity","SALES_REV_TURN","1993-06-18","2026-05-02","Per=Y","Days=T","Dir=V")</f>
        <v>0</v>
      </c>
      <c r="AA2">
        <f>BDH("RYM US Equity","EBIT","1993-06-18","2026-05-02","Per=Y","Days=T","Dir=V")</f>
        <v>0</v>
      </c>
      <c r="AC2">
        <f>BDH("RYM US Equity","EBITDA","1993-06-18","2026-05-02","Per=Y","Days=T","Dir=V")</f>
        <v>0</v>
      </c>
      <c r="AE2">
        <f>BDH("RYM US Equity","NET_INCOME","1993-06-18","2026-05-02","Per=Y","Days=T","Dir=V")</f>
        <v>0</v>
      </c>
      <c r="AG2">
        <f>BDH("RYM US Equity","IS_INT_EXPENSE","1993-06-18","2026-05-02","Per=Y","Days=T","Dir=V")</f>
        <v>0</v>
      </c>
      <c r="AI2">
        <f>BDH("RYM US Equity","IS_DEPR_EXP","1993-06-18","2026-05-02","Per=Y","Days=T","Dir=V")</f>
        <v>0</v>
      </c>
      <c r="AK2">
        <f>BDH("RYM US Equity","CF_CASH_FROM_OPER","1993-06-18","2026-05-02","Per=Y","Days=T","Dir=V")</f>
        <v>0</v>
      </c>
      <c r="AM2">
        <f>BDH("RYM US Equity","CAPITAL_EXPEND","1993-06-18","2026-05-02","Per=Y","Days=T","Dir=V")</f>
        <v>0</v>
      </c>
      <c r="AO2">
        <f>BDH("RYM US Equity","CF_FREE_CASH_FLOW","1993-06-18","2026-05-02","Per=Y","Days=T","Dir=V")</f>
        <v>0</v>
      </c>
      <c r="AQ2">
        <f>BDH("RYM US Equity","PX_LAST","1993-06-18","2026-05-02","Per=M","Days=T","Dir=V")</f>
        <v>0</v>
      </c>
      <c r="AS2">
        <f>BDH("RYM US Equity","CUR_MKT_CAP","1993-06-18","2026-05-02","Per=M","Days=T","Dir=V")</f>
        <v>0</v>
      </c>
      <c r="AU2">
        <f>BDH("RYM US Equity","EQY_SH_OUT","1993-06-18","2026-05-02","Per=M","Days=T","Dir=V")</f>
        <v>0</v>
      </c>
      <c r="AW2">
        <f>BDH("RYM US Equity","PX_VOLUME","1993-06-18","2026-05-02","Per=M","Days=T","Dir=V")</f>
        <v>0</v>
      </c>
      <c r="AY2">
        <f>BDH("RYM US Equity","TURNOVER","1993-06-18","2026-05-02","Per=M","Days=T","Dir=V")</f>
        <v>0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BDH("RYTM US Equity","BS_TOT_ASSET","1993-06-18","2026-05-02","Per=Y","Days=T","Dir=V")</f>
        <v>0</v>
      </c>
      <c r="C2">
        <f>BDH("RYTM US Equity","BS_TOT_LIAB2","1993-06-18","2026-05-02","Per=Y","Days=T","Dir=V")</f>
        <v>0</v>
      </c>
      <c r="E2">
        <f>BDH("RYTM US Equity","SHORT_AND_LONG_TERM_DEBT","1993-06-18","2026-05-02","Per=Y","Days=T","Dir=V")</f>
        <v>0</v>
      </c>
      <c r="G2">
        <f>BDH("RYTM US Equity","BS_ST_BORROW","1993-06-18","2026-05-02","Per=Y","Days=T","Dir=V")</f>
        <v>0</v>
      </c>
      <c r="I2">
        <f>BDH("RYTM US Equity","BS_LT_BORROW","1993-06-18","2026-05-02","Per=Y","Days=T","Dir=V")</f>
        <v>0</v>
      </c>
      <c r="K2">
        <f>BDH("RYTM US Equity","BS_CASH_NEAR_CASH_ITEM","1993-06-18","2026-05-02","Per=Y","Days=T","Dir=V")</f>
        <v>0</v>
      </c>
      <c r="M2">
        <f>BDH("RYTM US Equity","BS_CUR_ASSET_REPORT","1993-06-18","2026-05-02","Per=Y","Days=T","Dir=V")</f>
        <v>0</v>
      </c>
      <c r="O2">
        <f>BDH("RYTM US Equity","BS_CUR_LIAB","1993-06-18","2026-05-02","Per=Y","Days=T","Dir=V")</f>
        <v>0</v>
      </c>
      <c r="Q2">
        <f>BDH("RYTM US Equity","BS_SHAREHOLDER_EQY_ENDING_PERIOD","1993-06-18","2026-05-02","Per=Y","Days=T","Dir=V")</f>
        <v>0</v>
      </c>
      <c r="S2">
        <f>BDH("RYTM US Equity","BS_ACCT_NOTE_RCV","1993-06-18","2026-05-02","Per=Y","Days=T","Dir=V")</f>
        <v>0</v>
      </c>
      <c r="U2">
        <f>BDH("RYTM US Equity","BS_INVENTORIES","1993-06-18","2026-05-02","Per=Y","Days=T","Dir=V")</f>
        <v>0</v>
      </c>
      <c r="W2">
        <f>BDH("RYTM US Equity","WORKING_CAPITAL","1993-06-18","2026-05-02","Per=Y","Days=T","Dir=V")</f>
        <v>0</v>
      </c>
      <c r="Y2">
        <f>BDH("RYTM US Equity","SALES_REV_TURN","1993-06-18","2026-05-02","Per=Y","Days=T","Dir=V")</f>
        <v>0</v>
      </c>
      <c r="AA2">
        <f>BDH("RYTM US Equity","EBIT","1993-06-18","2026-05-02","Per=Y","Days=T","Dir=V")</f>
        <v>0</v>
      </c>
      <c r="AC2">
        <f>BDH("RYTM US Equity","EBITDA","1993-06-18","2026-05-02","Per=Y","Days=T","Dir=V")</f>
        <v>0</v>
      </c>
      <c r="AE2">
        <f>BDH("RYTM US Equity","NET_INCOME","1993-06-18","2026-05-02","Per=Y","Days=T","Dir=V")</f>
        <v>0</v>
      </c>
      <c r="AG2">
        <f>BDH("RYTM US Equity","IS_INT_EXPENSE","1993-06-18","2026-05-02","Per=Y","Days=T","Dir=V")</f>
        <v>0</v>
      </c>
      <c r="AI2">
        <f>BDH("RYTM US Equity","IS_DEPR_EXP","1993-06-18","2026-05-02","Per=Y","Days=T","Dir=V")</f>
        <v>0</v>
      </c>
      <c r="AK2">
        <f>BDH("RYTM US Equity","CF_CASH_FROM_OPER","1993-06-18","2026-05-02","Per=Y","Days=T","Dir=V")</f>
        <v>0</v>
      </c>
      <c r="AM2">
        <f>BDH("RYTM US Equity","CAPITAL_EXPEND","1993-06-18","2026-05-02","Per=Y","Days=T","Dir=V")</f>
        <v>0</v>
      </c>
      <c r="AO2">
        <f>BDH("RYTM US Equity","CF_FREE_CASH_FLOW","1993-06-18","2026-05-02","Per=Y","Days=T","Dir=V")</f>
        <v>0</v>
      </c>
      <c r="AQ2">
        <f>BDH("RYTM US Equity","PX_LAST","1993-06-18","2026-05-02","Per=M","Days=T","Dir=V")</f>
        <v>0</v>
      </c>
      <c r="AS2">
        <f>BDH("RYTM US Equity","CUR_MKT_CAP","1993-06-18","2026-05-02","Per=M","Days=T","Dir=V")</f>
        <v>0</v>
      </c>
      <c r="AU2">
        <f>BDH("RYTM US Equity","EQY_SH_OUT","1993-06-18","2026-05-02","Per=M","Days=T","Dir=V")</f>
        <v>0</v>
      </c>
      <c r="AW2">
        <f>BDH("RYTM US Equity","PX_VOLUME","1993-06-18","2026-05-02","Per=M","Days=T","Dir=V")</f>
        <v>0</v>
      </c>
      <c r="AY2">
        <f>BDH("RYTM US Equity","TURNOVER","1993-06-18","2026-05-02","Per=M","Days=T","Dir=V")</f>
        <v>0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BDH("RYZ US Equity","BS_TOT_ASSET","1993-06-18","2026-05-02","Per=Y","Days=T","Dir=V")</f>
        <v>0</v>
      </c>
      <c r="C2">
        <f>BDH("RYZ US Equity","BS_TOT_LIAB2","1993-06-18","2026-05-02","Per=Y","Days=T","Dir=V")</f>
        <v>0</v>
      </c>
      <c r="E2">
        <f>BDH("RYZ US Equity","SHORT_AND_LONG_TERM_DEBT","1993-06-18","2026-05-02","Per=Y","Days=T","Dir=V")</f>
        <v>0</v>
      </c>
      <c r="G2">
        <f>BDH("RYZ US Equity","BS_ST_BORROW","1993-06-18","2026-05-02","Per=Y","Days=T","Dir=V")</f>
        <v>0</v>
      </c>
      <c r="I2">
        <f>BDH("RYZ US Equity","BS_LT_BORROW","1993-06-18","2026-05-02","Per=Y","Days=T","Dir=V")</f>
        <v>0</v>
      </c>
      <c r="K2">
        <f>BDH("RYZ US Equity","BS_CASH_NEAR_CASH_ITEM","1993-06-18","2026-05-02","Per=Y","Days=T","Dir=V")</f>
        <v>0</v>
      </c>
      <c r="M2">
        <f>BDH("RYZ US Equity","BS_CUR_ASSET_REPORT","1993-06-18","2026-05-02","Per=Y","Days=T","Dir=V")</f>
        <v>0</v>
      </c>
      <c r="O2">
        <f>BDH("RYZ US Equity","BS_CUR_LIAB","1993-06-18","2026-05-02","Per=Y","Days=T","Dir=V")</f>
        <v>0</v>
      </c>
      <c r="Q2">
        <f>BDH("RYZ US Equity","BS_SHAREHOLDER_EQY_ENDING_PERIOD","1993-06-18","2026-05-02","Per=Y","Days=T","Dir=V")</f>
        <v>0</v>
      </c>
      <c r="S2">
        <f>BDH("RYZ US Equity","BS_ACCT_NOTE_RCV","1993-06-18","2026-05-02","Per=Y","Days=T","Dir=V")</f>
        <v>0</v>
      </c>
      <c r="U2">
        <f>BDH("RYZ US Equity","BS_INVENTORIES","1993-06-18","2026-05-02","Per=Y","Days=T","Dir=V")</f>
        <v>0</v>
      </c>
      <c r="W2">
        <f>BDH("RYZ US Equity","WORKING_CAPITAL","1993-06-18","2026-05-02","Per=Y","Days=T","Dir=V")</f>
        <v>0</v>
      </c>
      <c r="Y2">
        <f>BDH("RYZ US Equity","SALES_REV_TURN","1993-06-18","2026-05-02","Per=Y","Days=T","Dir=V")</f>
        <v>0</v>
      </c>
      <c r="AA2">
        <f>BDH("RYZ US Equity","EBIT","1993-06-18","2026-05-02","Per=Y","Days=T","Dir=V")</f>
        <v>0</v>
      </c>
      <c r="AC2">
        <f>BDH("RYZ US Equity","EBITDA","1993-06-18","2026-05-02","Per=Y","Days=T","Dir=V")</f>
        <v>0</v>
      </c>
      <c r="AE2">
        <f>BDH("RYZ US Equity","NET_INCOME","1993-06-18","2026-05-02","Per=Y","Days=T","Dir=V")</f>
        <v>0</v>
      </c>
      <c r="AG2">
        <f>BDH("RYZ US Equity","IS_INT_EXPENSE","1993-06-18","2026-05-02","Per=Y","Days=T","Dir=V")</f>
        <v>0</v>
      </c>
      <c r="AI2">
        <f>BDH("RYZ US Equity","IS_DEPR_EXP","1993-06-18","2026-05-02","Per=Y","Days=T","Dir=V")</f>
        <v>0</v>
      </c>
      <c r="AK2">
        <f>BDH("RYZ US Equity","CF_CASH_FROM_OPER","1993-06-18","2026-05-02","Per=Y","Days=T","Dir=V")</f>
        <v>0</v>
      </c>
      <c r="AM2">
        <f>BDH("RYZ US Equity","CAPITAL_EXPEND","1993-06-18","2026-05-02","Per=Y","Days=T","Dir=V")</f>
        <v>0</v>
      </c>
      <c r="AO2">
        <f>BDH("RYZ US Equity","CF_FREE_CASH_FLOW","1993-06-18","2026-05-02","Per=Y","Days=T","Dir=V")</f>
        <v>0</v>
      </c>
      <c r="AQ2">
        <f>BDH("RYZ US Equity","PX_LAST","1993-06-18","2026-05-02","Per=M","Days=T","Dir=V")</f>
        <v>0</v>
      </c>
      <c r="AS2">
        <f>BDH("RYZ US Equity","CUR_MKT_CAP","1993-06-18","2026-05-02","Per=M","Days=T","Dir=V")</f>
        <v>0</v>
      </c>
      <c r="AU2">
        <f>BDH("RYZ US Equity","EQY_SH_OUT","1993-06-18","2026-05-02","Per=M","Days=T","Dir=V")</f>
        <v>0</v>
      </c>
      <c r="AW2">
        <f>BDH("RYZ US Equity","PX_VOLUME","1993-06-18","2026-05-02","Per=M","Days=T","Dir=V")</f>
        <v>0</v>
      </c>
      <c r="AY2">
        <f>BDH("RYZ US Equity","TURNOVER","1993-06-18","2026-05-02","Per=M","Days=T","Dir=V")</f>
        <v>0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BDH("RZLT US Equity","BS_TOT_ASSET","1993-06-18","2026-05-02","Per=Y","Days=T","Dir=V")</f>
        <v>0</v>
      </c>
      <c r="C2">
        <f>BDH("RZLT US Equity","BS_TOT_LIAB2","1993-06-18","2026-05-02","Per=Y","Days=T","Dir=V")</f>
        <v>0</v>
      </c>
      <c r="E2">
        <f>BDH("RZLT US Equity","SHORT_AND_LONG_TERM_DEBT","1993-06-18","2026-05-02","Per=Y","Days=T","Dir=V")</f>
        <v>0</v>
      </c>
      <c r="G2">
        <f>BDH("RZLT US Equity","BS_ST_BORROW","1993-06-18","2026-05-02","Per=Y","Days=T","Dir=V")</f>
        <v>0</v>
      </c>
      <c r="I2">
        <f>BDH("RZLT US Equity","BS_LT_BORROW","1993-06-18","2026-05-02","Per=Y","Days=T","Dir=V")</f>
        <v>0</v>
      </c>
      <c r="K2">
        <f>BDH("RZLT US Equity","BS_CASH_NEAR_CASH_ITEM","1993-06-18","2026-05-02","Per=Y","Days=T","Dir=V")</f>
        <v>0</v>
      </c>
      <c r="M2">
        <f>BDH("RZLT US Equity","BS_CUR_ASSET_REPORT","1993-06-18","2026-05-02","Per=Y","Days=T","Dir=V")</f>
        <v>0</v>
      </c>
      <c r="O2">
        <f>BDH("RZLT US Equity","BS_CUR_LIAB","1993-06-18","2026-05-02","Per=Y","Days=T","Dir=V")</f>
        <v>0</v>
      </c>
      <c r="Q2">
        <f>BDH("RZLT US Equity","BS_SHAREHOLDER_EQY_ENDING_PERIOD","1993-06-18","2026-05-02","Per=Y","Days=T","Dir=V")</f>
        <v>0</v>
      </c>
      <c r="S2">
        <f>BDH("RZLT US Equity","BS_ACCT_NOTE_RCV","1993-06-18","2026-05-02","Per=Y","Days=T","Dir=V")</f>
        <v>0</v>
      </c>
      <c r="U2">
        <f>BDH("RZLT US Equity","BS_INVENTORIES","1993-06-18","2026-05-02","Per=Y","Days=T","Dir=V")</f>
        <v>0</v>
      </c>
      <c r="W2">
        <f>BDH("RZLT US Equity","WORKING_CAPITAL","1993-06-18","2026-05-02","Per=Y","Days=T","Dir=V")</f>
        <v>0</v>
      </c>
      <c r="Y2">
        <f>BDH("RZLT US Equity","SALES_REV_TURN","1993-06-18","2026-05-02","Per=Y","Days=T","Dir=V")</f>
        <v>0</v>
      </c>
      <c r="AA2">
        <f>BDH("RZLT US Equity","EBIT","1993-06-18","2026-05-02","Per=Y","Days=T","Dir=V")</f>
        <v>0</v>
      </c>
      <c r="AC2">
        <f>BDH("RZLT US Equity","EBITDA","1993-06-18","2026-05-02","Per=Y","Days=T","Dir=V")</f>
        <v>0</v>
      </c>
      <c r="AE2">
        <f>BDH("RZLT US Equity","NET_INCOME","1993-06-18","2026-05-02","Per=Y","Days=T","Dir=V")</f>
        <v>0</v>
      </c>
      <c r="AG2">
        <f>BDH("RZLT US Equity","IS_INT_EXPENSE","1993-06-18","2026-05-02","Per=Y","Days=T","Dir=V")</f>
        <v>0</v>
      </c>
      <c r="AI2">
        <f>BDH("RZLT US Equity","IS_DEPR_EXP","1993-06-18","2026-05-02","Per=Y","Days=T","Dir=V")</f>
        <v>0</v>
      </c>
      <c r="AK2">
        <f>BDH("RZLT US Equity","CF_CASH_FROM_OPER","1993-06-18","2026-05-02","Per=Y","Days=T","Dir=V")</f>
        <v>0</v>
      </c>
      <c r="AM2">
        <f>BDH("RZLT US Equity","CAPITAL_EXPEND","1993-06-18","2026-05-02","Per=Y","Days=T","Dir=V")</f>
        <v>0</v>
      </c>
      <c r="AO2">
        <f>BDH("RZLT US Equity","CF_FREE_CASH_FLOW","1993-06-18","2026-05-02","Per=Y","Days=T","Dir=V")</f>
        <v>0</v>
      </c>
      <c r="AQ2">
        <f>BDH("RZLT US Equity","PX_LAST","1993-06-18","2026-05-02","Per=M","Days=T","Dir=V")</f>
        <v>0</v>
      </c>
      <c r="AS2">
        <f>BDH("RZLT US Equity","CUR_MKT_CAP","1993-06-18","2026-05-02","Per=M","Days=T","Dir=V")</f>
        <v>0</v>
      </c>
      <c r="AU2">
        <f>BDH("RZLT US Equity","EQY_SH_OUT","1993-06-18","2026-05-02","Per=M","Days=T","Dir=V")</f>
        <v>0</v>
      </c>
      <c r="AW2">
        <f>BDH("RZLT US Equity","PX_VOLUME","1993-06-18","2026-05-02","Per=M","Days=T","Dir=V")</f>
        <v>0</v>
      </c>
      <c r="AY2">
        <f>BDH("RZLT US Equity","TURNOVER","1993-06-18","2026-05-02","Per=M","Days=T","Dir=V")</f>
        <v>0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 US Equity","BS_TOT_ASSET","1993-06-18","2026-05-02","Per=Y","Days=T","Dir=V")</f>
        <v>0</v>
      </c>
      <c r="C2">
        <f>BDH("S US Equity","BS_TOT_LIAB2","1993-06-18","2026-05-02","Per=Y","Days=T","Dir=V")</f>
        <v>0</v>
      </c>
      <c r="E2">
        <f>BDH("S US Equity","SHORT_AND_LONG_TERM_DEBT","1993-06-18","2026-05-02","Per=Y","Days=T","Dir=V")</f>
        <v>0</v>
      </c>
      <c r="G2">
        <f>BDH("S US Equity","BS_ST_BORROW","1993-06-18","2026-05-02","Per=Y","Days=T","Dir=V")</f>
        <v>0</v>
      </c>
      <c r="I2">
        <f>BDH("S US Equity","BS_LT_BORROW","1993-06-18","2026-05-02","Per=Y","Days=T","Dir=V")</f>
        <v>0</v>
      </c>
      <c r="K2">
        <f>BDH("S US Equity","BS_CASH_NEAR_CASH_ITEM","1993-06-18","2026-05-02","Per=Y","Days=T","Dir=V")</f>
        <v>0</v>
      </c>
      <c r="M2">
        <f>BDH("S US Equity","BS_CUR_ASSET_REPORT","1993-06-18","2026-05-02","Per=Y","Days=T","Dir=V")</f>
        <v>0</v>
      </c>
      <c r="O2">
        <f>BDH("S US Equity","BS_CUR_LIAB","1993-06-18","2026-05-02","Per=Y","Days=T","Dir=V")</f>
        <v>0</v>
      </c>
      <c r="Q2">
        <f>BDH("S US Equity","BS_SHAREHOLDER_EQY_ENDING_PERIOD","1993-06-18","2026-05-02","Per=Y","Days=T","Dir=V")</f>
        <v>0</v>
      </c>
      <c r="S2">
        <f>BDH("S US Equity","BS_ACCT_NOTE_RCV","1993-06-18","2026-05-02","Per=Y","Days=T","Dir=V")</f>
        <v>0</v>
      </c>
      <c r="U2">
        <f>BDH("S US Equity","BS_INVENTORIES","1993-06-18","2026-05-02","Per=Y","Days=T","Dir=V")</f>
        <v>0</v>
      </c>
      <c r="W2">
        <f>BDH("S US Equity","WORKING_CAPITAL","1993-06-18","2026-05-02","Per=Y","Days=T","Dir=V")</f>
        <v>0</v>
      </c>
      <c r="Y2">
        <f>BDH("S US Equity","SALES_REV_TURN","1993-06-18","2026-05-02","Per=Y","Days=T","Dir=V")</f>
        <v>0</v>
      </c>
      <c r="AA2">
        <f>BDH("S US Equity","EBIT","1993-06-18","2026-05-02","Per=Y","Days=T","Dir=V")</f>
        <v>0</v>
      </c>
      <c r="AC2">
        <f>BDH("S US Equity","EBITDA","1993-06-18","2026-05-02","Per=Y","Days=T","Dir=V")</f>
        <v>0</v>
      </c>
      <c r="AE2">
        <f>BDH("S US Equity","NET_INCOME","1993-06-18","2026-05-02","Per=Y","Days=T","Dir=V")</f>
        <v>0</v>
      </c>
      <c r="AG2">
        <f>BDH("S US Equity","IS_INT_EXPENSE","1993-06-18","2026-05-02","Per=Y","Days=T","Dir=V")</f>
        <v>0</v>
      </c>
      <c r="AI2">
        <f>BDH("S US Equity","IS_DEPR_EXP","1993-06-18","2026-05-02","Per=Y","Days=T","Dir=V")</f>
        <v>0</v>
      </c>
      <c r="AK2">
        <f>BDH("S US Equity","CF_CASH_FROM_OPER","1993-06-18","2026-05-02","Per=Y","Days=T","Dir=V")</f>
        <v>0</v>
      </c>
      <c r="AM2">
        <f>BDH("S US Equity","CAPITAL_EXPEND","1993-06-18","2026-05-02","Per=Y","Days=T","Dir=V")</f>
        <v>0</v>
      </c>
      <c r="AO2">
        <f>BDH("S US Equity","CF_FREE_CASH_FLOW","1993-06-18","2026-05-02","Per=Y","Days=T","Dir=V")</f>
        <v>0</v>
      </c>
      <c r="AQ2">
        <f>BDH("S US Equity","PX_LAST","1993-06-18","2026-05-02","Per=M","Days=T","Dir=V")</f>
        <v>0</v>
      </c>
      <c r="AS2">
        <f>BDH("S US Equity","CUR_MKT_CAP","1993-06-18","2026-05-02","Per=M","Days=T","Dir=V")</f>
        <v>0</v>
      </c>
      <c r="AU2">
        <f>BDH("S US Equity","EQY_SH_OUT","1993-06-18","2026-05-02","Per=M","Days=T","Dir=V")</f>
        <v>0</v>
      </c>
      <c r="AW2">
        <f>BDH("S US Equity","PX_VOLUME","1993-06-18","2026-05-02","Per=M","Days=T","Dir=V")</f>
        <v>0</v>
      </c>
      <c r="AY2">
        <f>BDH("S US Equity","TURNOVER","1993-06-18","2026-05-02","Per=M","Days=T","Dir=V")</f>
        <v>0</v>
      </c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BDH("SABR US Equity","BS_TOT_ASSET","1993-06-18","2026-05-02","Per=Y","Days=T","Dir=V")</f>
        <v>0</v>
      </c>
      <c r="C2">
        <f>BDH("SABR US Equity","BS_TOT_LIAB2","1993-06-18","2026-05-02","Per=Y","Days=T","Dir=V")</f>
        <v>0</v>
      </c>
      <c r="E2">
        <f>BDH("SABR US Equity","SHORT_AND_LONG_TERM_DEBT","1993-06-18","2026-05-02","Per=Y","Days=T","Dir=V")</f>
        <v>0</v>
      </c>
      <c r="G2">
        <f>BDH("SABR US Equity","BS_ST_BORROW","1993-06-18","2026-05-02","Per=Y","Days=T","Dir=V")</f>
        <v>0</v>
      </c>
      <c r="I2">
        <f>BDH("SABR US Equity","BS_LT_BORROW","1993-06-18","2026-05-02","Per=Y","Days=T","Dir=V")</f>
        <v>0</v>
      </c>
      <c r="K2">
        <f>BDH("SABR US Equity","BS_CASH_NEAR_CASH_ITEM","1993-06-18","2026-05-02","Per=Y","Days=T","Dir=V")</f>
        <v>0</v>
      </c>
      <c r="M2">
        <f>BDH("SABR US Equity","BS_CUR_ASSET_REPORT","1993-06-18","2026-05-02","Per=Y","Days=T","Dir=V")</f>
        <v>0</v>
      </c>
      <c r="O2">
        <f>BDH("SABR US Equity","BS_CUR_LIAB","1993-06-18","2026-05-02","Per=Y","Days=T","Dir=V")</f>
        <v>0</v>
      </c>
      <c r="Q2">
        <f>BDH("SABR US Equity","BS_SHAREHOLDER_EQY_ENDING_PERIOD","1993-06-18","2026-05-02","Per=Y","Days=T","Dir=V")</f>
        <v>0</v>
      </c>
      <c r="S2">
        <f>BDH("SABR US Equity","BS_ACCT_NOTE_RCV","1993-06-18","2026-05-02","Per=Y","Days=T","Dir=V")</f>
        <v>0</v>
      </c>
      <c r="U2">
        <f>BDH("SABR US Equity","BS_INVENTORIES","1993-06-18","2026-05-02","Per=Y","Days=T","Dir=V")</f>
        <v>0</v>
      </c>
      <c r="W2">
        <f>BDH("SABR US Equity","WORKING_CAPITAL","1993-06-18","2026-05-02","Per=Y","Days=T","Dir=V")</f>
        <v>0</v>
      </c>
      <c r="Y2">
        <f>BDH("SABR US Equity","SALES_REV_TURN","1993-06-18","2026-05-02","Per=Y","Days=T","Dir=V")</f>
        <v>0</v>
      </c>
      <c r="AA2">
        <f>BDH("SABR US Equity","EBIT","1993-06-18","2026-05-02","Per=Y","Days=T","Dir=V")</f>
        <v>0</v>
      </c>
      <c r="AC2">
        <f>BDH("SABR US Equity","EBITDA","1993-06-18","2026-05-02","Per=Y","Days=T","Dir=V")</f>
        <v>0</v>
      </c>
      <c r="AE2">
        <f>BDH("SABR US Equity","NET_INCOME","1993-06-18","2026-05-02","Per=Y","Days=T","Dir=V")</f>
        <v>0</v>
      </c>
      <c r="AG2">
        <f>BDH("SABR US Equity","IS_INT_EXPENSE","1993-06-18","2026-05-02","Per=Y","Days=T","Dir=V")</f>
        <v>0</v>
      </c>
      <c r="AI2">
        <f>BDH("SABR US Equity","IS_DEPR_EXP","1993-06-18","2026-05-02","Per=Y","Days=T","Dir=V")</f>
        <v>0</v>
      </c>
      <c r="AK2">
        <f>BDH("SABR US Equity","CF_CASH_FROM_OPER","1993-06-18","2026-05-02","Per=Y","Days=T","Dir=V")</f>
        <v>0</v>
      </c>
      <c r="AM2">
        <f>BDH("SABR US Equity","CAPITAL_EXPEND","1993-06-18","2026-05-02","Per=Y","Days=T","Dir=V")</f>
        <v>0</v>
      </c>
      <c r="AO2">
        <f>BDH("SABR US Equity","CF_FREE_CASH_FLOW","1993-06-18","2026-05-02","Per=Y","Days=T","Dir=V")</f>
        <v>0</v>
      </c>
      <c r="AQ2">
        <f>BDH("SABR US Equity","PX_LAST","1993-06-18","2026-05-02","Per=M","Days=T","Dir=V")</f>
        <v>0</v>
      </c>
      <c r="AS2">
        <f>BDH("SABR US Equity","CUR_MKT_CAP","1993-06-18","2026-05-02","Per=M","Days=T","Dir=V")</f>
        <v>0</v>
      </c>
      <c r="AU2">
        <f>BDH("SABR US Equity","EQY_SH_OUT","1993-06-18","2026-05-02","Per=M","Days=T","Dir=V")</f>
        <v>0</v>
      </c>
      <c r="AW2">
        <f>BDH("SABR US Equity","PX_VOLUME","1993-06-18","2026-05-02","Per=M","Days=T","Dir=V")</f>
        <v>0</v>
      </c>
      <c r="AY2">
        <f>BDH("SABR US Equity","TURNOVER","1993-06-18","2026-05-02","Per=M","Days=T","Dir=V")</f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BDH("SABS US Equity","BS_TOT_ASSET","1993-06-18","2026-05-02","Per=Y","Days=T","Dir=V")</f>
        <v>0</v>
      </c>
      <c r="C2">
        <f>BDH("SABS US Equity","BS_TOT_LIAB2","1993-06-18","2026-05-02","Per=Y","Days=T","Dir=V")</f>
        <v>0</v>
      </c>
      <c r="E2">
        <f>BDH("SABS US Equity","SHORT_AND_LONG_TERM_DEBT","1993-06-18","2026-05-02","Per=Y","Days=T","Dir=V")</f>
        <v>0</v>
      </c>
      <c r="G2">
        <f>BDH("SABS US Equity","BS_ST_BORROW","1993-06-18","2026-05-02","Per=Y","Days=T","Dir=V")</f>
        <v>0</v>
      </c>
      <c r="I2">
        <f>BDH("SABS US Equity","BS_LT_BORROW","1993-06-18","2026-05-02","Per=Y","Days=T","Dir=V")</f>
        <v>0</v>
      </c>
      <c r="K2">
        <f>BDH("SABS US Equity","BS_CASH_NEAR_CASH_ITEM","1993-06-18","2026-05-02","Per=Y","Days=T","Dir=V")</f>
        <v>0</v>
      </c>
      <c r="M2">
        <f>BDH("SABS US Equity","BS_CUR_ASSET_REPORT","1993-06-18","2026-05-02","Per=Y","Days=T","Dir=V")</f>
        <v>0</v>
      </c>
      <c r="O2">
        <f>BDH("SABS US Equity","BS_CUR_LIAB","1993-06-18","2026-05-02","Per=Y","Days=T","Dir=V")</f>
        <v>0</v>
      </c>
      <c r="Q2">
        <f>BDH("SABS US Equity","BS_SHAREHOLDER_EQY_ENDING_PERIOD","1993-06-18","2026-05-02","Per=Y","Days=T","Dir=V")</f>
        <v>0</v>
      </c>
      <c r="S2">
        <f>BDH("SABS US Equity","BS_ACCT_NOTE_RCV","1993-06-18","2026-05-02","Per=Y","Days=T","Dir=V")</f>
        <v>0</v>
      </c>
      <c r="U2">
        <f>BDH("SABS US Equity","BS_INVENTORIES","1993-06-18","2026-05-02","Per=Y","Days=T","Dir=V")</f>
        <v>0</v>
      </c>
      <c r="W2">
        <f>BDH("SABS US Equity","WORKING_CAPITAL","1993-06-18","2026-05-02","Per=Y","Days=T","Dir=V")</f>
        <v>0</v>
      </c>
      <c r="Y2">
        <f>BDH("SABS US Equity","SALES_REV_TURN","1993-06-18","2026-05-02","Per=Y","Days=T","Dir=V")</f>
        <v>0</v>
      </c>
      <c r="AA2">
        <f>BDH("SABS US Equity","EBIT","1993-06-18","2026-05-02","Per=Y","Days=T","Dir=V")</f>
        <v>0</v>
      </c>
      <c r="AC2">
        <f>BDH("SABS US Equity","EBITDA","1993-06-18","2026-05-02","Per=Y","Days=T","Dir=V")</f>
        <v>0</v>
      </c>
      <c r="AE2">
        <f>BDH("SABS US Equity","NET_INCOME","1993-06-18","2026-05-02","Per=Y","Days=T","Dir=V")</f>
        <v>0</v>
      </c>
      <c r="AG2">
        <f>BDH("SABS US Equity","IS_INT_EXPENSE","1993-06-18","2026-05-02","Per=Y","Days=T","Dir=V")</f>
        <v>0</v>
      </c>
      <c r="AI2">
        <f>BDH("SABS US Equity","IS_DEPR_EXP","1993-06-18","2026-05-02","Per=Y","Days=T","Dir=V")</f>
        <v>0</v>
      </c>
      <c r="AK2">
        <f>BDH("SABS US Equity","CF_CASH_FROM_OPER","1993-06-18","2026-05-02","Per=Y","Days=T","Dir=V")</f>
        <v>0</v>
      </c>
      <c r="AM2">
        <f>BDH("SABS US Equity","CAPITAL_EXPEND","1993-06-18","2026-05-02","Per=Y","Days=T","Dir=V")</f>
        <v>0</v>
      </c>
      <c r="AO2">
        <f>BDH("SABS US Equity","CF_FREE_CASH_FLOW","1993-06-18","2026-05-02","Per=Y","Days=T","Dir=V")</f>
        <v>0</v>
      </c>
      <c r="AQ2">
        <f>BDH("SABS US Equity","PX_LAST","1993-06-18","2026-05-02","Per=M","Days=T","Dir=V")</f>
        <v>0</v>
      </c>
      <c r="AS2">
        <f>BDH("SABS US Equity","CUR_MKT_CAP","1993-06-18","2026-05-02","Per=M","Days=T","Dir=V")</f>
        <v>0</v>
      </c>
      <c r="AU2">
        <f>BDH("SABS US Equity","EQY_SH_OUT","1993-06-18","2026-05-02","Per=M","Days=T","Dir=V")</f>
        <v>0</v>
      </c>
      <c r="AW2">
        <f>BDH("SABS US Equity","PX_VOLUME","1993-06-18","2026-05-02","Per=M","Days=T","Dir=V")</f>
        <v>0</v>
      </c>
      <c r="AY2">
        <f>BDH("SABS US Equity","TURNOVER","1993-06-18","2026-05-02","Per=M","Days=T","Dir=V")</f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BDH("SABSW US Equity","BS_TOT_ASSET","1993-06-18","2026-05-02","Per=Y","Days=T","Dir=V")</f>
        <v>0</v>
      </c>
      <c r="C2">
        <f>BDH("SABSW US Equity","BS_TOT_LIAB2","1993-06-18","2026-05-02","Per=Y","Days=T","Dir=V")</f>
        <v>0</v>
      </c>
      <c r="E2">
        <f>BDH("SABSW US Equity","SHORT_AND_LONG_TERM_DEBT","1993-06-18","2026-05-02","Per=Y","Days=T","Dir=V")</f>
        <v>0</v>
      </c>
      <c r="G2">
        <f>BDH("SABSW US Equity","BS_ST_BORROW","1993-06-18","2026-05-02","Per=Y","Days=T","Dir=V")</f>
        <v>0</v>
      </c>
      <c r="I2">
        <f>BDH("SABSW US Equity","BS_LT_BORROW","1993-06-18","2026-05-02","Per=Y","Days=T","Dir=V")</f>
        <v>0</v>
      </c>
      <c r="K2">
        <f>BDH("SABSW US Equity","BS_CASH_NEAR_CASH_ITEM","1993-06-18","2026-05-02","Per=Y","Days=T","Dir=V")</f>
        <v>0</v>
      </c>
      <c r="M2">
        <f>BDH("SABSW US Equity","BS_CUR_ASSET_REPORT","1993-06-18","2026-05-02","Per=Y","Days=T","Dir=V")</f>
        <v>0</v>
      </c>
      <c r="O2">
        <f>BDH("SABSW US Equity","BS_CUR_LIAB","1993-06-18","2026-05-02","Per=Y","Days=T","Dir=V")</f>
        <v>0</v>
      </c>
      <c r="Q2">
        <f>BDH("SABSW US Equity","BS_SHAREHOLDER_EQY_ENDING_PERIOD","1993-06-18","2026-05-02","Per=Y","Days=T","Dir=V")</f>
        <v>0</v>
      </c>
      <c r="S2">
        <f>BDH("SABSW US Equity","BS_ACCT_NOTE_RCV","1993-06-18","2026-05-02","Per=Y","Days=T","Dir=V")</f>
        <v>0</v>
      </c>
      <c r="U2">
        <f>BDH("SABSW US Equity","BS_INVENTORIES","1993-06-18","2026-05-02","Per=Y","Days=T","Dir=V")</f>
        <v>0</v>
      </c>
      <c r="W2">
        <f>BDH("SABSW US Equity","WORKING_CAPITAL","1993-06-18","2026-05-02","Per=Y","Days=T","Dir=V")</f>
        <v>0</v>
      </c>
      <c r="Y2">
        <f>BDH("SABSW US Equity","SALES_REV_TURN","1993-06-18","2026-05-02","Per=Y","Days=T","Dir=V")</f>
        <v>0</v>
      </c>
      <c r="AA2">
        <f>BDH("SABSW US Equity","EBIT","1993-06-18","2026-05-02","Per=Y","Days=T","Dir=V")</f>
        <v>0</v>
      </c>
      <c r="AC2">
        <f>BDH("SABSW US Equity","EBITDA","1993-06-18","2026-05-02","Per=Y","Days=T","Dir=V")</f>
        <v>0</v>
      </c>
      <c r="AE2">
        <f>BDH("SABSW US Equity","NET_INCOME","1993-06-18","2026-05-02","Per=Y","Days=T","Dir=V")</f>
        <v>0</v>
      </c>
      <c r="AG2">
        <f>BDH("SABSW US Equity","IS_INT_EXPENSE","1993-06-18","2026-05-02","Per=Y","Days=T","Dir=V")</f>
        <v>0</v>
      </c>
      <c r="AI2">
        <f>BDH("SABSW US Equity","IS_DEPR_EXP","1993-06-18","2026-05-02","Per=Y","Days=T","Dir=V")</f>
        <v>0</v>
      </c>
      <c r="AK2">
        <f>BDH("SABSW US Equity","CF_CASH_FROM_OPER","1993-06-18","2026-05-02","Per=Y","Days=T","Dir=V")</f>
        <v>0</v>
      </c>
      <c r="AM2">
        <f>BDH("SABSW US Equity","CAPITAL_EXPEND","1993-06-18","2026-05-02","Per=Y","Days=T","Dir=V")</f>
        <v>0</v>
      </c>
      <c r="AO2">
        <f>BDH("SABSW US Equity","CF_FREE_CASH_FLOW","1993-06-18","2026-05-02","Per=Y","Days=T","Dir=V")</f>
        <v>0</v>
      </c>
      <c r="AQ2">
        <f>BDH("SABSW US Equity","PX_LAST","1993-06-18","2026-05-02","Per=M","Days=T","Dir=V")</f>
        <v>0</v>
      </c>
      <c r="AS2">
        <f>BDH("SABSW US Equity","CUR_MKT_CAP","1993-06-18","2026-05-02","Per=M","Days=T","Dir=V")</f>
        <v>0</v>
      </c>
      <c r="AU2">
        <f>BDH("SABSW US Equity","EQY_SH_OUT","1993-06-18","2026-05-02","Per=M","Days=T","Dir=V")</f>
        <v>0</v>
      </c>
      <c r="AW2">
        <f>BDH("SABSW US Equity","PX_VOLUME","1993-06-18","2026-05-02","Per=M","Days=T","Dir=V")</f>
        <v>0</v>
      </c>
      <c r="AY2">
        <f>BDH("SABSW US Equity","TURNOVER","1993-06-18","2026-05-02","Per=M","Days=T","Dir=V")</f>
        <v>0</v>
      </c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BDH("SAFX US Equity","BS_TOT_ASSET","1993-06-18","2026-05-02","Per=Y","Days=T","Dir=V")</f>
        <v>0</v>
      </c>
      <c r="C2">
        <f>BDH("SAFX US Equity","BS_TOT_LIAB2","1993-06-18","2026-05-02","Per=Y","Days=T","Dir=V")</f>
        <v>0</v>
      </c>
      <c r="E2">
        <f>BDH("SAFX US Equity","SHORT_AND_LONG_TERM_DEBT","1993-06-18","2026-05-02","Per=Y","Days=T","Dir=V")</f>
        <v>0</v>
      </c>
      <c r="G2">
        <f>BDH("SAFX US Equity","BS_ST_BORROW","1993-06-18","2026-05-02","Per=Y","Days=T","Dir=V")</f>
        <v>0</v>
      </c>
      <c r="I2">
        <f>BDH("SAFX US Equity","BS_LT_BORROW","1993-06-18","2026-05-02","Per=Y","Days=T","Dir=V")</f>
        <v>0</v>
      </c>
      <c r="K2">
        <f>BDH("SAFX US Equity","BS_CASH_NEAR_CASH_ITEM","1993-06-18","2026-05-02","Per=Y","Days=T","Dir=V")</f>
        <v>0</v>
      </c>
      <c r="M2">
        <f>BDH("SAFX US Equity","BS_CUR_ASSET_REPORT","1993-06-18","2026-05-02","Per=Y","Days=T","Dir=V")</f>
        <v>0</v>
      </c>
      <c r="O2">
        <f>BDH("SAFX US Equity","BS_CUR_LIAB","1993-06-18","2026-05-02","Per=Y","Days=T","Dir=V")</f>
        <v>0</v>
      </c>
      <c r="Q2">
        <f>BDH("SAFX US Equity","BS_SHAREHOLDER_EQY_ENDING_PERIOD","1993-06-18","2026-05-02","Per=Y","Days=T","Dir=V")</f>
        <v>0</v>
      </c>
      <c r="S2">
        <f>BDH("SAFX US Equity","BS_ACCT_NOTE_RCV","1993-06-18","2026-05-02","Per=Y","Days=T","Dir=V")</f>
        <v>0</v>
      </c>
      <c r="U2">
        <f>BDH("SAFX US Equity","BS_INVENTORIES","1993-06-18","2026-05-02","Per=Y","Days=T","Dir=V")</f>
        <v>0</v>
      </c>
      <c r="W2">
        <f>BDH("SAFX US Equity","WORKING_CAPITAL","1993-06-18","2026-05-02","Per=Y","Days=T","Dir=V")</f>
        <v>0</v>
      </c>
      <c r="Y2">
        <f>BDH("SAFX US Equity","SALES_REV_TURN","1993-06-18","2026-05-02","Per=Y","Days=T","Dir=V")</f>
        <v>0</v>
      </c>
      <c r="AA2">
        <f>BDH("SAFX US Equity","EBIT","1993-06-18","2026-05-02","Per=Y","Days=T","Dir=V")</f>
        <v>0</v>
      </c>
      <c r="AC2">
        <f>BDH("SAFX US Equity","EBITDA","1993-06-18","2026-05-02","Per=Y","Days=T","Dir=V")</f>
        <v>0</v>
      </c>
      <c r="AE2">
        <f>BDH("SAFX US Equity","NET_INCOME","1993-06-18","2026-05-02","Per=Y","Days=T","Dir=V")</f>
        <v>0</v>
      </c>
      <c r="AG2">
        <f>BDH("SAFX US Equity","IS_INT_EXPENSE","1993-06-18","2026-05-02","Per=Y","Days=T","Dir=V")</f>
        <v>0</v>
      </c>
      <c r="AI2">
        <f>BDH("SAFX US Equity","IS_DEPR_EXP","1993-06-18","2026-05-02","Per=Y","Days=T","Dir=V")</f>
        <v>0</v>
      </c>
      <c r="AK2">
        <f>BDH("SAFX US Equity","CF_CASH_FROM_OPER","1993-06-18","2026-05-02","Per=Y","Days=T","Dir=V")</f>
        <v>0</v>
      </c>
      <c r="AM2">
        <f>BDH("SAFX US Equity","CAPITAL_EXPEND","1993-06-18","2026-05-02","Per=Y","Days=T","Dir=V")</f>
        <v>0</v>
      </c>
      <c r="AO2">
        <f>BDH("SAFX US Equity","CF_FREE_CASH_FLOW","1993-06-18","2026-05-02","Per=Y","Days=T","Dir=V")</f>
        <v>0</v>
      </c>
      <c r="AQ2">
        <f>BDH("SAFX US Equity","PX_LAST","1993-06-18","2026-05-02","Per=M","Days=T","Dir=V")</f>
        <v>0</v>
      </c>
      <c r="AS2">
        <f>BDH("SAFX US Equity","CUR_MKT_CAP","1993-06-18","2026-05-02","Per=M","Days=T","Dir=V")</f>
        <v>0</v>
      </c>
      <c r="AU2">
        <f>BDH("SAFX US Equity","EQY_SH_OUT","1993-06-18","2026-05-02","Per=M","Days=T","Dir=V")</f>
        <v>0</v>
      </c>
      <c r="AW2">
        <f>BDH("SAFX US Equity","PX_VOLUME","1993-06-18","2026-05-02","Per=M","Days=T","Dir=V")</f>
        <v>0</v>
      </c>
      <c r="AY2">
        <f>BDH("SAFX US Equity","TURNOVER","1993-06-18","2026-05-02","Per=M","Days=T","Dir=V")</f>
        <v>0</v>
      </c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BDH("SAH US Equity","BS_TOT_ASSET","1993-06-18","2026-05-02","Per=Y","Days=T","Dir=V")</f>
        <v>0</v>
      </c>
      <c r="C2">
        <f>BDH("SAH US Equity","BS_TOT_LIAB2","1993-06-18","2026-05-02","Per=Y","Days=T","Dir=V")</f>
        <v>0</v>
      </c>
      <c r="E2">
        <f>BDH("SAH US Equity","SHORT_AND_LONG_TERM_DEBT","1993-06-18","2026-05-02","Per=Y","Days=T","Dir=V")</f>
        <v>0</v>
      </c>
      <c r="G2">
        <f>BDH("SAH US Equity","BS_ST_BORROW","1993-06-18","2026-05-02","Per=Y","Days=T","Dir=V")</f>
        <v>0</v>
      </c>
      <c r="I2">
        <f>BDH("SAH US Equity","BS_LT_BORROW","1993-06-18","2026-05-02","Per=Y","Days=T","Dir=V")</f>
        <v>0</v>
      </c>
      <c r="K2">
        <f>BDH("SAH US Equity","BS_CASH_NEAR_CASH_ITEM","1993-06-18","2026-05-02","Per=Y","Days=T","Dir=V")</f>
        <v>0</v>
      </c>
      <c r="M2">
        <f>BDH("SAH US Equity","BS_CUR_ASSET_REPORT","1993-06-18","2026-05-02","Per=Y","Days=T","Dir=V")</f>
        <v>0</v>
      </c>
      <c r="O2">
        <f>BDH("SAH US Equity","BS_CUR_LIAB","1993-06-18","2026-05-02","Per=Y","Days=T","Dir=V")</f>
        <v>0</v>
      </c>
      <c r="Q2">
        <f>BDH("SAH US Equity","BS_SHAREHOLDER_EQY_ENDING_PERIOD","1993-06-18","2026-05-02","Per=Y","Days=T","Dir=V")</f>
        <v>0</v>
      </c>
      <c r="S2">
        <f>BDH("SAH US Equity","BS_ACCT_NOTE_RCV","1993-06-18","2026-05-02","Per=Y","Days=T","Dir=V")</f>
        <v>0</v>
      </c>
      <c r="U2">
        <f>BDH("SAH US Equity","BS_INVENTORIES","1993-06-18","2026-05-02","Per=Y","Days=T","Dir=V")</f>
        <v>0</v>
      </c>
      <c r="W2">
        <f>BDH("SAH US Equity","WORKING_CAPITAL","1993-06-18","2026-05-02","Per=Y","Days=T","Dir=V")</f>
        <v>0</v>
      </c>
      <c r="Y2">
        <f>BDH("SAH US Equity","SALES_REV_TURN","1993-06-18","2026-05-02","Per=Y","Days=T","Dir=V")</f>
        <v>0</v>
      </c>
      <c r="AA2">
        <f>BDH("SAH US Equity","EBIT","1993-06-18","2026-05-02","Per=Y","Days=T","Dir=V")</f>
        <v>0</v>
      </c>
      <c r="AC2">
        <f>BDH("SAH US Equity","EBITDA","1993-06-18","2026-05-02","Per=Y","Days=T","Dir=V")</f>
        <v>0</v>
      </c>
      <c r="AE2">
        <f>BDH("SAH US Equity","NET_INCOME","1993-06-18","2026-05-02","Per=Y","Days=T","Dir=V")</f>
        <v>0</v>
      </c>
      <c r="AG2">
        <f>BDH("SAH US Equity","IS_INT_EXPENSE","1993-06-18","2026-05-02","Per=Y","Days=T","Dir=V")</f>
        <v>0</v>
      </c>
      <c r="AI2">
        <f>BDH("SAH US Equity","IS_DEPR_EXP","1993-06-18","2026-05-02","Per=Y","Days=T","Dir=V")</f>
        <v>0</v>
      </c>
      <c r="AK2">
        <f>BDH("SAH US Equity","CF_CASH_FROM_OPER","1993-06-18","2026-05-02","Per=Y","Days=T","Dir=V")</f>
        <v>0</v>
      </c>
      <c r="AM2">
        <f>BDH("SAH US Equity","CAPITAL_EXPEND","1993-06-18","2026-05-02","Per=Y","Days=T","Dir=V")</f>
        <v>0</v>
      </c>
      <c r="AO2">
        <f>BDH("SAH US Equity","CF_FREE_CASH_FLOW","1993-06-18","2026-05-02","Per=Y","Days=T","Dir=V")</f>
        <v>0</v>
      </c>
      <c r="AQ2">
        <f>BDH("SAH US Equity","PX_LAST","1993-06-18","2026-05-02","Per=M","Days=T","Dir=V")</f>
        <v>0</v>
      </c>
      <c r="AS2">
        <f>BDH("SAH US Equity","CUR_MKT_CAP","1993-06-18","2026-05-02","Per=M","Days=T","Dir=V")</f>
        <v>0</v>
      </c>
      <c r="AU2">
        <f>BDH("SAH US Equity","EQY_SH_OUT","1993-06-18","2026-05-02","Per=M","Days=T","Dir=V")</f>
        <v>0</v>
      </c>
      <c r="AW2">
        <f>BDH("SAH US Equity","PX_VOLUME","1993-06-18","2026-05-02","Per=M","Days=T","Dir=V")</f>
        <v>0</v>
      </c>
      <c r="AY2">
        <f>BDH("SAH US Equity","TURNOVER","1993-06-18","2026-05-02","Per=M","Days=T","Dir=V")</f>
        <v>0</v>
      </c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BDH("SAIA US Equity","BS_TOT_ASSET","1993-06-18","2026-05-02","Per=Y","Days=T","Dir=V")</f>
        <v>0</v>
      </c>
      <c r="C2">
        <f>BDH("SAIA US Equity","BS_TOT_LIAB2","1993-06-18","2026-05-02","Per=Y","Days=T","Dir=V")</f>
        <v>0</v>
      </c>
      <c r="E2">
        <f>BDH("SAIA US Equity","SHORT_AND_LONG_TERM_DEBT","1993-06-18","2026-05-02","Per=Y","Days=T","Dir=V")</f>
        <v>0</v>
      </c>
      <c r="G2">
        <f>BDH("SAIA US Equity","BS_ST_BORROW","1993-06-18","2026-05-02","Per=Y","Days=T","Dir=V")</f>
        <v>0</v>
      </c>
      <c r="I2">
        <f>BDH("SAIA US Equity","BS_LT_BORROW","1993-06-18","2026-05-02","Per=Y","Days=T","Dir=V")</f>
        <v>0</v>
      </c>
      <c r="K2">
        <f>BDH("SAIA US Equity","BS_CASH_NEAR_CASH_ITEM","1993-06-18","2026-05-02","Per=Y","Days=T","Dir=V")</f>
        <v>0</v>
      </c>
      <c r="M2">
        <f>BDH("SAIA US Equity","BS_CUR_ASSET_REPORT","1993-06-18","2026-05-02","Per=Y","Days=T","Dir=V")</f>
        <v>0</v>
      </c>
      <c r="O2">
        <f>BDH("SAIA US Equity","BS_CUR_LIAB","1993-06-18","2026-05-02","Per=Y","Days=T","Dir=V")</f>
        <v>0</v>
      </c>
      <c r="Q2">
        <f>BDH("SAIA US Equity","BS_SHAREHOLDER_EQY_ENDING_PERIOD","1993-06-18","2026-05-02","Per=Y","Days=T","Dir=V")</f>
        <v>0</v>
      </c>
      <c r="S2">
        <f>BDH("SAIA US Equity","BS_ACCT_NOTE_RCV","1993-06-18","2026-05-02","Per=Y","Days=T","Dir=V")</f>
        <v>0</v>
      </c>
      <c r="U2">
        <f>BDH("SAIA US Equity","BS_INVENTORIES","1993-06-18","2026-05-02","Per=Y","Days=T","Dir=V")</f>
        <v>0</v>
      </c>
      <c r="W2">
        <f>BDH("SAIA US Equity","WORKING_CAPITAL","1993-06-18","2026-05-02","Per=Y","Days=T","Dir=V")</f>
        <v>0</v>
      </c>
      <c r="Y2">
        <f>BDH("SAIA US Equity","SALES_REV_TURN","1993-06-18","2026-05-02","Per=Y","Days=T","Dir=V")</f>
        <v>0</v>
      </c>
      <c r="AA2">
        <f>BDH("SAIA US Equity","EBIT","1993-06-18","2026-05-02","Per=Y","Days=T","Dir=V")</f>
        <v>0</v>
      </c>
      <c r="AC2">
        <f>BDH("SAIA US Equity","EBITDA","1993-06-18","2026-05-02","Per=Y","Days=T","Dir=V")</f>
        <v>0</v>
      </c>
      <c r="AE2">
        <f>BDH("SAIA US Equity","NET_INCOME","1993-06-18","2026-05-02","Per=Y","Days=T","Dir=V")</f>
        <v>0</v>
      </c>
      <c r="AG2">
        <f>BDH("SAIA US Equity","IS_INT_EXPENSE","1993-06-18","2026-05-02","Per=Y","Days=T","Dir=V")</f>
        <v>0</v>
      </c>
      <c r="AI2">
        <f>BDH("SAIA US Equity","IS_DEPR_EXP","1993-06-18","2026-05-02","Per=Y","Days=T","Dir=V")</f>
        <v>0</v>
      </c>
      <c r="AK2">
        <f>BDH("SAIA US Equity","CF_CASH_FROM_OPER","1993-06-18","2026-05-02","Per=Y","Days=T","Dir=V")</f>
        <v>0</v>
      </c>
      <c r="AM2">
        <f>BDH("SAIA US Equity","CAPITAL_EXPEND","1993-06-18","2026-05-02","Per=Y","Days=T","Dir=V")</f>
        <v>0</v>
      </c>
      <c r="AO2">
        <f>BDH("SAIA US Equity","CF_FREE_CASH_FLOW","1993-06-18","2026-05-02","Per=Y","Days=T","Dir=V")</f>
        <v>0</v>
      </c>
      <c r="AQ2">
        <f>BDH("SAIA US Equity","PX_LAST","1993-06-18","2026-05-02","Per=M","Days=T","Dir=V")</f>
        <v>0</v>
      </c>
      <c r="AS2">
        <f>BDH("SAIA US Equity","CUR_MKT_CAP","1993-06-18","2026-05-02","Per=M","Days=T","Dir=V")</f>
        <v>0</v>
      </c>
      <c r="AU2">
        <f>BDH("SAIA US Equity","EQY_SH_OUT","1993-06-18","2026-05-02","Per=M","Days=T","Dir=V")</f>
        <v>0</v>
      </c>
      <c r="AW2">
        <f>BDH("SAIA US Equity","PX_VOLUME","1993-06-18","2026-05-02","Per=M","Days=T","Dir=V")</f>
        <v>0</v>
      </c>
      <c r="AY2">
        <f>BDH("SAIA US Equity","TURNOVER","1993-06-18","2026-05-02","Per=M","Days=T","Dir=V")</f>
        <v>0</v>
      </c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BDH("SAIC US Equity","BS_TOT_ASSET","1993-06-18","2026-05-02","Per=Y","Days=T","Dir=V")</f>
        <v>0</v>
      </c>
      <c r="C2">
        <f>BDH("SAIC US Equity","BS_TOT_LIAB2","1993-06-18","2026-05-02","Per=Y","Days=T","Dir=V")</f>
        <v>0</v>
      </c>
      <c r="E2">
        <f>BDH("SAIC US Equity","SHORT_AND_LONG_TERM_DEBT","1993-06-18","2026-05-02","Per=Y","Days=T","Dir=V")</f>
        <v>0</v>
      </c>
      <c r="G2">
        <f>BDH("SAIC US Equity","BS_ST_BORROW","1993-06-18","2026-05-02","Per=Y","Days=T","Dir=V")</f>
        <v>0</v>
      </c>
      <c r="I2">
        <f>BDH("SAIC US Equity","BS_LT_BORROW","1993-06-18","2026-05-02","Per=Y","Days=T","Dir=V")</f>
        <v>0</v>
      </c>
      <c r="K2">
        <f>BDH("SAIC US Equity","BS_CASH_NEAR_CASH_ITEM","1993-06-18","2026-05-02","Per=Y","Days=T","Dir=V")</f>
        <v>0</v>
      </c>
      <c r="M2">
        <f>BDH("SAIC US Equity","BS_CUR_ASSET_REPORT","1993-06-18","2026-05-02","Per=Y","Days=T","Dir=V")</f>
        <v>0</v>
      </c>
      <c r="O2">
        <f>BDH("SAIC US Equity","BS_CUR_LIAB","1993-06-18","2026-05-02","Per=Y","Days=T","Dir=V")</f>
        <v>0</v>
      </c>
      <c r="Q2">
        <f>BDH("SAIC US Equity","BS_SHAREHOLDER_EQY_ENDING_PERIOD","1993-06-18","2026-05-02","Per=Y","Days=T","Dir=V")</f>
        <v>0</v>
      </c>
      <c r="S2">
        <f>BDH("SAIC US Equity","BS_ACCT_NOTE_RCV","1993-06-18","2026-05-02","Per=Y","Days=T","Dir=V")</f>
        <v>0</v>
      </c>
      <c r="U2">
        <f>BDH("SAIC US Equity","BS_INVENTORIES","1993-06-18","2026-05-02","Per=Y","Days=T","Dir=V")</f>
        <v>0</v>
      </c>
      <c r="W2">
        <f>BDH("SAIC US Equity","WORKING_CAPITAL","1993-06-18","2026-05-02","Per=Y","Days=T","Dir=V")</f>
        <v>0</v>
      </c>
      <c r="Y2">
        <f>BDH("SAIC US Equity","SALES_REV_TURN","1993-06-18","2026-05-02","Per=Y","Days=T","Dir=V")</f>
        <v>0</v>
      </c>
      <c r="AA2">
        <f>BDH("SAIC US Equity","EBIT","1993-06-18","2026-05-02","Per=Y","Days=T","Dir=V")</f>
        <v>0</v>
      </c>
      <c r="AC2">
        <f>BDH("SAIC US Equity","EBITDA","1993-06-18","2026-05-02","Per=Y","Days=T","Dir=V")</f>
        <v>0</v>
      </c>
      <c r="AE2">
        <f>BDH("SAIC US Equity","NET_INCOME","1993-06-18","2026-05-02","Per=Y","Days=T","Dir=V")</f>
        <v>0</v>
      </c>
      <c r="AG2">
        <f>BDH("SAIC US Equity","IS_INT_EXPENSE","1993-06-18","2026-05-02","Per=Y","Days=T","Dir=V")</f>
        <v>0</v>
      </c>
      <c r="AI2">
        <f>BDH("SAIC US Equity","IS_DEPR_EXP","1993-06-18","2026-05-02","Per=Y","Days=T","Dir=V")</f>
        <v>0</v>
      </c>
      <c r="AK2">
        <f>BDH("SAIC US Equity","CF_CASH_FROM_OPER","1993-06-18","2026-05-02","Per=Y","Days=T","Dir=V")</f>
        <v>0</v>
      </c>
      <c r="AM2">
        <f>BDH("SAIC US Equity","CAPITAL_EXPEND","1993-06-18","2026-05-02","Per=Y","Days=T","Dir=V")</f>
        <v>0</v>
      </c>
      <c r="AO2">
        <f>BDH("SAIC US Equity","CF_FREE_CASH_FLOW","1993-06-18","2026-05-02","Per=Y","Days=T","Dir=V")</f>
        <v>0</v>
      </c>
      <c r="AQ2">
        <f>BDH("SAIC US Equity","PX_LAST","1993-06-18","2026-05-02","Per=M","Days=T","Dir=V")</f>
        <v>0</v>
      </c>
      <c r="AS2">
        <f>BDH("SAIC US Equity","CUR_MKT_CAP","1993-06-18","2026-05-02","Per=M","Days=T","Dir=V")</f>
        <v>0</v>
      </c>
      <c r="AU2">
        <f>BDH("SAIC US Equity","EQY_SH_OUT","1993-06-18","2026-05-02","Per=M","Days=T","Dir=V")</f>
        <v>0</v>
      </c>
      <c r="AW2">
        <f>BDH("SAIC US Equity","PX_VOLUME","1993-06-18","2026-05-02","Per=M","Days=T","Dir=V")</f>
        <v>0</v>
      </c>
      <c r="AY2">
        <f>BDH("SAIC US Equity","TURNOVER","1993-06-18","2026-05-02","Per=M","Days=T","Dir=V")</f>
        <v>0</v>
      </c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BDH("SAIL US Equity","BS_TOT_ASSET","1993-06-18","2026-05-02","Per=Y","Days=T","Dir=V")</f>
        <v>0</v>
      </c>
      <c r="C2">
        <f>BDH("SAIL US Equity","BS_TOT_LIAB2","1993-06-18","2026-05-02","Per=Y","Days=T","Dir=V")</f>
        <v>0</v>
      </c>
      <c r="E2">
        <f>BDH("SAIL US Equity","SHORT_AND_LONG_TERM_DEBT","1993-06-18","2026-05-02","Per=Y","Days=T","Dir=V")</f>
        <v>0</v>
      </c>
      <c r="G2">
        <f>BDH("SAIL US Equity","BS_ST_BORROW","1993-06-18","2026-05-02","Per=Y","Days=T","Dir=V")</f>
        <v>0</v>
      </c>
      <c r="I2">
        <f>BDH("SAIL US Equity","BS_LT_BORROW","1993-06-18","2026-05-02","Per=Y","Days=T","Dir=V")</f>
        <v>0</v>
      </c>
      <c r="K2">
        <f>BDH("SAIL US Equity","BS_CASH_NEAR_CASH_ITEM","1993-06-18","2026-05-02","Per=Y","Days=T","Dir=V")</f>
        <v>0</v>
      </c>
      <c r="M2">
        <f>BDH("SAIL US Equity","BS_CUR_ASSET_REPORT","1993-06-18","2026-05-02","Per=Y","Days=T","Dir=V")</f>
        <v>0</v>
      </c>
      <c r="O2">
        <f>BDH("SAIL US Equity","BS_CUR_LIAB","1993-06-18","2026-05-02","Per=Y","Days=T","Dir=V")</f>
        <v>0</v>
      </c>
      <c r="Q2">
        <f>BDH("SAIL US Equity","BS_SHAREHOLDER_EQY_ENDING_PERIOD","1993-06-18","2026-05-02","Per=Y","Days=T","Dir=V")</f>
        <v>0</v>
      </c>
      <c r="S2">
        <f>BDH("SAIL US Equity","BS_ACCT_NOTE_RCV","1993-06-18","2026-05-02","Per=Y","Days=T","Dir=V")</f>
        <v>0</v>
      </c>
      <c r="U2">
        <f>BDH("SAIL US Equity","BS_INVENTORIES","1993-06-18","2026-05-02","Per=Y","Days=T","Dir=V")</f>
        <v>0</v>
      </c>
      <c r="W2">
        <f>BDH("SAIL US Equity","WORKING_CAPITAL","1993-06-18","2026-05-02","Per=Y","Days=T","Dir=V")</f>
        <v>0</v>
      </c>
      <c r="Y2">
        <f>BDH("SAIL US Equity","SALES_REV_TURN","1993-06-18","2026-05-02","Per=Y","Days=T","Dir=V")</f>
        <v>0</v>
      </c>
      <c r="AA2">
        <f>BDH("SAIL US Equity","EBIT","1993-06-18","2026-05-02","Per=Y","Days=T","Dir=V")</f>
        <v>0</v>
      </c>
      <c r="AC2">
        <f>BDH("SAIL US Equity","EBITDA","1993-06-18","2026-05-02","Per=Y","Days=T","Dir=V")</f>
        <v>0</v>
      </c>
      <c r="AE2">
        <f>BDH("SAIL US Equity","NET_INCOME","1993-06-18","2026-05-02","Per=Y","Days=T","Dir=V")</f>
        <v>0</v>
      </c>
      <c r="AG2">
        <f>BDH("SAIL US Equity","IS_INT_EXPENSE","1993-06-18","2026-05-02","Per=Y","Days=T","Dir=V")</f>
        <v>0</v>
      </c>
      <c r="AI2">
        <f>BDH("SAIL US Equity","IS_DEPR_EXP","1993-06-18","2026-05-02","Per=Y","Days=T","Dir=V")</f>
        <v>0</v>
      </c>
      <c r="AK2">
        <f>BDH("SAIL US Equity","CF_CASH_FROM_OPER","1993-06-18","2026-05-02","Per=Y","Days=T","Dir=V")</f>
        <v>0</v>
      </c>
      <c r="AM2">
        <f>BDH("SAIL US Equity","CAPITAL_EXPEND","1993-06-18","2026-05-02","Per=Y","Days=T","Dir=V")</f>
        <v>0</v>
      </c>
      <c r="AO2">
        <f>BDH("SAIL US Equity","CF_FREE_CASH_FLOW","1993-06-18","2026-05-02","Per=Y","Days=T","Dir=V")</f>
        <v>0</v>
      </c>
      <c r="AQ2">
        <f>BDH("SAIL US Equity","PX_LAST","1993-06-18","2026-05-02","Per=M","Days=T","Dir=V")</f>
        <v>0</v>
      </c>
      <c r="AS2">
        <f>BDH("SAIL US Equity","CUR_MKT_CAP","1993-06-18","2026-05-02","Per=M","Days=T","Dir=V")</f>
        <v>0</v>
      </c>
      <c r="AU2">
        <f>BDH("SAIL US Equity","EQY_SH_OUT","1993-06-18","2026-05-02","Per=M","Days=T","Dir=V")</f>
        <v>0</v>
      </c>
      <c r="AW2">
        <f>BDH("SAIL US Equity","PX_VOLUME","1993-06-18","2026-05-02","Per=M","Days=T","Dir=V")</f>
        <v>0</v>
      </c>
      <c r="AY2">
        <f>BDH("SAIL US Equity","TURNOVER","1993-06-18","2026-05-02","Per=M","Days=T","Dir=V")</f>
        <v>0</v>
      </c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BDH("SAM US Equity","BS_TOT_ASSET","1993-06-18","2026-05-02","Per=Y","Days=T","Dir=V")</f>
        <v>0</v>
      </c>
      <c r="C2">
        <f>BDH("SAM US Equity","BS_TOT_LIAB2","1993-06-18","2026-05-02","Per=Y","Days=T","Dir=V")</f>
        <v>0</v>
      </c>
      <c r="E2">
        <f>BDH("SAM US Equity","SHORT_AND_LONG_TERM_DEBT","1993-06-18","2026-05-02","Per=Y","Days=T","Dir=V")</f>
        <v>0</v>
      </c>
      <c r="G2">
        <f>BDH("SAM US Equity","BS_ST_BORROW","1993-06-18","2026-05-02","Per=Y","Days=T","Dir=V")</f>
        <v>0</v>
      </c>
      <c r="I2">
        <f>BDH("SAM US Equity","BS_LT_BORROW","1993-06-18","2026-05-02","Per=Y","Days=T","Dir=V")</f>
        <v>0</v>
      </c>
      <c r="K2">
        <f>BDH("SAM US Equity","BS_CASH_NEAR_CASH_ITEM","1993-06-18","2026-05-02","Per=Y","Days=T","Dir=V")</f>
        <v>0</v>
      </c>
      <c r="M2">
        <f>BDH("SAM US Equity","BS_CUR_ASSET_REPORT","1993-06-18","2026-05-02","Per=Y","Days=T","Dir=V")</f>
        <v>0</v>
      </c>
      <c r="O2">
        <f>BDH("SAM US Equity","BS_CUR_LIAB","1993-06-18","2026-05-02","Per=Y","Days=T","Dir=V")</f>
        <v>0</v>
      </c>
      <c r="Q2">
        <f>BDH("SAM US Equity","BS_SHAREHOLDER_EQY_ENDING_PERIOD","1993-06-18","2026-05-02","Per=Y","Days=T","Dir=V")</f>
        <v>0</v>
      </c>
      <c r="S2">
        <f>BDH("SAM US Equity","BS_ACCT_NOTE_RCV","1993-06-18","2026-05-02","Per=Y","Days=T","Dir=V")</f>
        <v>0</v>
      </c>
      <c r="U2">
        <f>BDH("SAM US Equity","BS_INVENTORIES","1993-06-18","2026-05-02","Per=Y","Days=T","Dir=V")</f>
        <v>0</v>
      </c>
      <c r="W2">
        <f>BDH("SAM US Equity","WORKING_CAPITAL","1993-06-18","2026-05-02","Per=Y","Days=T","Dir=V")</f>
        <v>0</v>
      </c>
      <c r="Y2">
        <f>BDH("SAM US Equity","SALES_REV_TURN","1993-06-18","2026-05-02","Per=Y","Days=T","Dir=V")</f>
        <v>0</v>
      </c>
      <c r="AA2">
        <f>BDH("SAM US Equity","EBIT","1993-06-18","2026-05-02","Per=Y","Days=T","Dir=V")</f>
        <v>0</v>
      </c>
      <c r="AC2">
        <f>BDH("SAM US Equity","EBITDA","1993-06-18","2026-05-02","Per=Y","Days=T","Dir=V")</f>
        <v>0</v>
      </c>
      <c r="AE2">
        <f>BDH("SAM US Equity","NET_INCOME","1993-06-18","2026-05-02","Per=Y","Days=T","Dir=V")</f>
        <v>0</v>
      </c>
      <c r="AG2">
        <f>BDH("SAM US Equity","IS_INT_EXPENSE","1993-06-18","2026-05-02","Per=Y","Days=T","Dir=V")</f>
        <v>0</v>
      </c>
      <c r="AI2">
        <f>BDH("SAM US Equity","IS_DEPR_EXP","1993-06-18","2026-05-02","Per=Y","Days=T","Dir=V")</f>
        <v>0</v>
      </c>
      <c r="AK2">
        <f>BDH("SAM US Equity","CF_CASH_FROM_OPER","1993-06-18","2026-05-02","Per=Y","Days=T","Dir=V")</f>
        <v>0</v>
      </c>
      <c r="AM2">
        <f>BDH("SAM US Equity","CAPITAL_EXPEND","1993-06-18","2026-05-02","Per=Y","Days=T","Dir=V")</f>
        <v>0</v>
      </c>
      <c r="AO2">
        <f>BDH("SAM US Equity","CF_FREE_CASH_FLOW","1993-06-18","2026-05-02","Per=Y","Days=T","Dir=V")</f>
        <v>0</v>
      </c>
      <c r="AQ2">
        <f>BDH("SAM US Equity","PX_LAST","1993-06-18","2026-05-02","Per=M","Days=T","Dir=V")</f>
        <v>0</v>
      </c>
      <c r="AS2">
        <f>BDH("SAM US Equity","CUR_MKT_CAP","1993-06-18","2026-05-02","Per=M","Days=T","Dir=V")</f>
        <v>0</v>
      </c>
      <c r="AU2">
        <f>BDH("SAM US Equity","EQY_SH_OUT","1993-06-18","2026-05-02","Per=M","Days=T","Dir=V")</f>
        <v>0</v>
      </c>
      <c r="AW2">
        <f>BDH("SAM US Equity","PX_VOLUME","1993-06-18","2026-05-02","Per=M","Days=T","Dir=V")</f>
        <v>0</v>
      </c>
      <c r="AY2">
        <f>BDH("SAM US Equity","TURNOVER","1993-06-18","2026-05-02","Per=M","Days=T","Dir=V")</f>
        <v>0</v>
      </c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BDH("SANA US Equity","BS_TOT_ASSET","1993-06-18","2026-05-02","Per=Y","Days=T","Dir=V")</f>
        <v>0</v>
      </c>
      <c r="C2">
        <f>BDH("SANA US Equity","BS_TOT_LIAB2","1993-06-18","2026-05-02","Per=Y","Days=T","Dir=V")</f>
        <v>0</v>
      </c>
      <c r="E2">
        <f>BDH("SANA US Equity","SHORT_AND_LONG_TERM_DEBT","1993-06-18","2026-05-02","Per=Y","Days=T","Dir=V")</f>
        <v>0</v>
      </c>
      <c r="G2">
        <f>BDH("SANA US Equity","BS_ST_BORROW","1993-06-18","2026-05-02","Per=Y","Days=T","Dir=V")</f>
        <v>0</v>
      </c>
      <c r="I2">
        <f>BDH("SANA US Equity","BS_LT_BORROW","1993-06-18","2026-05-02","Per=Y","Days=T","Dir=V")</f>
        <v>0</v>
      </c>
      <c r="K2">
        <f>BDH("SANA US Equity","BS_CASH_NEAR_CASH_ITEM","1993-06-18","2026-05-02","Per=Y","Days=T","Dir=V")</f>
        <v>0</v>
      </c>
      <c r="M2">
        <f>BDH("SANA US Equity","BS_CUR_ASSET_REPORT","1993-06-18","2026-05-02","Per=Y","Days=T","Dir=V")</f>
        <v>0</v>
      </c>
      <c r="O2">
        <f>BDH("SANA US Equity","BS_CUR_LIAB","1993-06-18","2026-05-02","Per=Y","Days=T","Dir=V")</f>
        <v>0</v>
      </c>
      <c r="Q2">
        <f>BDH("SANA US Equity","BS_SHAREHOLDER_EQY_ENDING_PERIOD","1993-06-18","2026-05-02","Per=Y","Days=T","Dir=V")</f>
        <v>0</v>
      </c>
      <c r="S2">
        <f>BDH("SANA US Equity","BS_ACCT_NOTE_RCV","1993-06-18","2026-05-02","Per=Y","Days=T","Dir=V")</f>
        <v>0</v>
      </c>
      <c r="U2">
        <f>BDH("SANA US Equity","BS_INVENTORIES","1993-06-18","2026-05-02","Per=Y","Days=T","Dir=V")</f>
        <v>0</v>
      </c>
      <c r="W2">
        <f>BDH("SANA US Equity","WORKING_CAPITAL","1993-06-18","2026-05-02","Per=Y","Days=T","Dir=V")</f>
        <v>0</v>
      </c>
      <c r="Y2">
        <f>BDH("SANA US Equity","SALES_REV_TURN","1993-06-18","2026-05-02","Per=Y","Days=T","Dir=V")</f>
        <v>0</v>
      </c>
      <c r="AA2">
        <f>BDH("SANA US Equity","EBIT","1993-06-18","2026-05-02","Per=Y","Days=T","Dir=V")</f>
        <v>0</v>
      </c>
      <c r="AC2">
        <f>BDH("SANA US Equity","EBITDA","1993-06-18","2026-05-02","Per=Y","Days=T","Dir=V")</f>
        <v>0</v>
      </c>
      <c r="AE2">
        <f>BDH("SANA US Equity","NET_INCOME","1993-06-18","2026-05-02","Per=Y","Days=T","Dir=V")</f>
        <v>0</v>
      </c>
      <c r="AG2">
        <f>BDH("SANA US Equity","IS_INT_EXPENSE","1993-06-18","2026-05-02","Per=Y","Days=T","Dir=V")</f>
        <v>0</v>
      </c>
      <c r="AI2">
        <f>BDH("SANA US Equity","IS_DEPR_EXP","1993-06-18","2026-05-02","Per=Y","Days=T","Dir=V")</f>
        <v>0</v>
      </c>
      <c r="AK2">
        <f>BDH("SANA US Equity","CF_CASH_FROM_OPER","1993-06-18","2026-05-02","Per=Y","Days=T","Dir=V")</f>
        <v>0</v>
      </c>
      <c r="AM2">
        <f>BDH("SANA US Equity","CAPITAL_EXPEND","1993-06-18","2026-05-02","Per=Y","Days=T","Dir=V")</f>
        <v>0</v>
      </c>
      <c r="AO2">
        <f>BDH("SANA US Equity","CF_FREE_CASH_FLOW","1993-06-18","2026-05-02","Per=Y","Days=T","Dir=V")</f>
        <v>0</v>
      </c>
      <c r="AQ2">
        <f>BDH("SANA US Equity","PX_LAST","1993-06-18","2026-05-02","Per=M","Days=T","Dir=V")</f>
        <v>0</v>
      </c>
      <c r="AS2">
        <f>BDH("SANA US Equity","CUR_MKT_CAP","1993-06-18","2026-05-02","Per=M","Days=T","Dir=V")</f>
        <v>0</v>
      </c>
      <c r="AU2">
        <f>BDH("SANA US Equity","EQY_SH_OUT","1993-06-18","2026-05-02","Per=M","Days=T","Dir=V")</f>
        <v>0</v>
      </c>
      <c r="AW2">
        <f>BDH("SANA US Equity","PX_VOLUME","1993-06-18","2026-05-02","Per=M","Days=T","Dir=V")</f>
        <v>0</v>
      </c>
      <c r="AY2">
        <f>BDH("SANA US Equity","TURNOVER","1993-06-18","2026-05-02","Per=M","Days=T","Dir=V")</f>
        <v>0</v>
      </c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BDH("SANM US Equity","BS_TOT_ASSET","1993-06-18","2026-05-02","Per=Y","Days=T","Dir=V")</f>
        <v>0</v>
      </c>
      <c r="C2">
        <f>BDH("SANM US Equity","BS_TOT_LIAB2","1993-06-18","2026-05-02","Per=Y","Days=T","Dir=V")</f>
        <v>0</v>
      </c>
      <c r="E2">
        <f>BDH("SANM US Equity","SHORT_AND_LONG_TERM_DEBT","1993-06-18","2026-05-02","Per=Y","Days=T","Dir=V")</f>
        <v>0</v>
      </c>
      <c r="G2">
        <f>BDH("SANM US Equity","BS_ST_BORROW","1993-06-18","2026-05-02","Per=Y","Days=T","Dir=V")</f>
        <v>0</v>
      </c>
      <c r="I2">
        <f>BDH("SANM US Equity","BS_LT_BORROW","1993-06-18","2026-05-02","Per=Y","Days=T","Dir=V")</f>
        <v>0</v>
      </c>
      <c r="K2">
        <f>BDH("SANM US Equity","BS_CASH_NEAR_CASH_ITEM","1993-06-18","2026-05-02","Per=Y","Days=T","Dir=V")</f>
        <v>0</v>
      </c>
      <c r="M2">
        <f>BDH("SANM US Equity","BS_CUR_ASSET_REPORT","1993-06-18","2026-05-02","Per=Y","Days=T","Dir=V")</f>
        <v>0</v>
      </c>
      <c r="O2">
        <f>BDH("SANM US Equity","BS_CUR_LIAB","1993-06-18","2026-05-02","Per=Y","Days=T","Dir=V")</f>
        <v>0</v>
      </c>
      <c r="Q2">
        <f>BDH("SANM US Equity","BS_SHAREHOLDER_EQY_ENDING_PERIOD","1993-06-18","2026-05-02","Per=Y","Days=T","Dir=V")</f>
        <v>0</v>
      </c>
      <c r="S2">
        <f>BDH("SANM US Equity","BS_ACCT_NOTE_RCV","1993-06-18","2026-05-02","Per=Y","Days=T","Dir=V")</f>
        <v>0</v>
      </c>
      <c r="U2">
        <f>BDH("SANM US Equity","BS_INVENTORIES","1993-06-18","2026-05-02","Per=Y","Days=T","Dir=V")</f>
        <v>0</v>
      </c>
      <c r="W2">
        <f>BDH("SANM US Equity","WORKING_CAPITAL","1993-06-18","2026-05-02","Per=Y","Days=T","Dir=V")</f>
        <v>0</v>
      </c>
      <c r="Y2">
        <f>BDH("SANM US Equity","SALES_REV_TURN","1993-06-18","2026-05-02","Per=Y","Days=T","Dir=V")</f>
        <v>0</v>
      </c>
      <c r="AA2">
        <f>BDH("SANM US Equity","EBIT","1993-06-18","2026-05-02","Per=Y","Days=T","Dir=V")</f>
        <v>0</v>
      </c>
      <c r="AC2">
        <f>BDH("SANM US Equity","EBITDA","1993-06-18","2026-05-02","Per=Y","Days=T","Dir=V")</f>
        <v>0</v>
      </c>
      <c r="AE2">
        <f>BDH("SANM US Equity","NET_INCOME","1993-06-18","2026-05-02","Per=Y","Days=T","Dir=V")</f>
        <v>0</v>
      </c>
      <c r="AG2">
        <f>BDH("SANM US Equity","IS_INT_EXPENSE","1993-06-18","2026-05-02","Per=Y","Days=T","Dir=V")</f>
        <v>0</v>
      </c>
      <c r="AI2">
        <f>BDH("SANM US Equity","IS_DEPR_EXP","1993-06-18","2026-05-02","Per=Y","Days=T","Dir=V")</f>
        <v>0</v>
      </c>
      <c r="AK2">
        <f>BDH("SANM US Equity","CF_CASH_FROM_OPER","1993-06-18","2026-05-02","Per=Y","Days=T","Dir=V")</f>
        <v>0</v>
      </c>
      <c r="AM2">
        <f>BDH("SANM US Equity","CAPITAL_EXPEND","1993-06-18","2026-05-02","Per=Y","Days=T","Dir=V")</f>
        <v>0</v>
      </c>
      <c r="AO2">
        <f>BDH("SANM US Equity","CF_FREE_CASH_FLOW","1993-06-18","2026-05-02","Per=Y","Days=T","Dir=V")</f>
        <v>0</v>
      </c>
      <c r="AQ2">
        <f>BDH("SANM US Equity","PX_LAST","1993-06-18","2026-05-02","Per=M","Days=T","Dir=V")</f>
        <v>0</v>
      </c>
      <c r="AS2">
        <f>BDH("SANM US Equity","CUR_MKT_CAP","1993-06-18","2026-05-02","Per=M","Days=T","Dir=V")</f>
        <v>0</v>
      </c>
      <c r="AU2">
        <f>BDH("SANM US Equity","EQY_SH_OUT","1993-06-18","2026-05-02","Per=M","Days=T","Dir=V")</f>
        <v>0</v>
      </c>
      <c r="AW2">
        <f>BDH("SANM US Equity","PX_VOLUME","1993-06-18","2026-05-02","Per=M","Days=T","Dir=V")</f>
        <v>0</v>
      </c>
      <c r="AY2">
        <f>BDH("SANM US Equity","TURNOVER","1993-06-18","2026-05-02","Per=M","Days=T","Dir=V")</f>
        <v>0</v>
      </c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BDH("SARO US Equity","BS_TOT_ASSET","1993-06-18","2026-05-02","Per=Y","Days=T","Dir=V")</f>
        <v>0</v>
      </c>
      <c r="C2">
        <f>BDH("SARO US Equity","BS_TOT_LIAB2","1993-06-18","2026-05-02","Per=Y","Days=T","Dir=V")</f>
        <v>0</v>
      </c>
      <c r="E2">
        <f>BDH("SARO US Equity","SHORT_AND_LONG_TERM_DEBT","1993-06-18","2026-05-02","Per=Y","Days=T","Dir=V")</f>
        <v>0</v>
      </c>
      <c r="G2">
        <f>BDH("SARO US Equity","BS_ST_BORROW","1993-06-18","2026-05-02","Per=Y","Days=T","Dir=V")</f>
        <v>0</v>
      </c>
      <c r="I2">
        <f>BDH("SARO US Equity","BS_LT_BORROW","1993-06-18","2026-05-02","Per=Y","Days=T","Dir=V")</f>
        <v>0</v>
      </c>
      <c r="K2">
        <f>BDH("SARO US Equity","BS_CASH_NEAR_CASH_ITEM","1993-06-18","2026-05-02","Per=Y","Days=T","Dir=V")</f>
        <v>0</v>
      </c>
      <c r="M2">
        <f>BDH("SARO US Equity","BS_CUR_ASSET_REPORT","1993-06-18","2026-05-02","Per=Y","Days=T","Dir=V")</f>
        <v>0</v>
      </c>
      <c r="O2">
        <f>BDH("SARO US Equity","BS_CUR_LIAB","1993-06-18","2026-05-02","Per=Y","Days=T","Dir=V")</f>
        <v>0</v>
      </c>
      <c r="Q2">
        <f>BDH("SARO US Equity","BS_SHAREHOLDER_EQY_ENDING_PERIOD","1993-06-18","2026-05-02","Per=Y","Days=T","Dir=V")</f>
        <v>0</v>
      </c>
      <c r="S2">
        <f>BDH("SARO US Equity","BS_ACCT_NOTE_RCV","1993-06-18","2026-05-02","Per=Y","Days=T","Dir=V")</f>
        <v>0</v>
      </c>
      <c r="U2">
        <f>BDH("SARO US Equity","BS_INVENTORIES","1993-06-18","2026-05-02","Per=Y","Days=T","Dir=V")</f>
        <v>0</v>
      </c>
      <c r="W2">
        <f>BDH("SARO US Equity","WORKING_CAPITAL","1993-06-18","2026-05-02","Per=Y","Days=T","Dir=V")</f>
        <v>0</v>
      </c>
      <c r="Y2">
        <f>BDH("SARO US Equity","SALES_REV_TURN","1993-06-18","2026-05-02","Per=Y","Days=T","Dir=V")</f>
        <v>0</v>
      </c>
      <c r="AA2">
        <f>BDH("SARO US Equity","EBIT","1993-06-18","2026-05-02","Per=Y","Days=T","Dir=V")</f>
        <v>0</v>
      </c>
      <c r="AC2">
        <f>BDH("SARO US Equity","EBITDA","1993-06-18","2026-05-02","Per=Y","Days=T","Dir=V")</f>
        <v>0</v>
      </c>
      <c r="AE2">
        <f>BDH("SARO US Equity","NET_INCOME","1993-06-18","2026-05-02","Per=Y","Days=T","Dir=V")</f>
        <v>0</v>
      </c>
      <c r="AG2">
        <f>BDH("SARO US Equity","IS_INT_EXPENSE","1993-06-18","2026-05-02","Per=Y","Days=T","Dir=V")</f>
        <v>0</v>
      </c>
      <c r="AI2">
        <f>BDH("SARO US Equity","IS_DEPR_EXP","1993-06-18","2026-05-02","Per=Y","Days=T","Dir=V")</f>
        <v>0</v>
      </c>
      <c r="AK2">
        <f>BDH("SARO US Equity","CF_CASH_FROM_OPER","1993-06-18","2026-05-02","Per=Y","Days=T","Dir=V")</f>
        <v>0</v>
      </c>
      <c r="AM2">
        <f>BDH("SARO US Equity","CAPITAL_EXPEND","1993-06-18","2026-05-02","Per=Y","Days=T","Dir=V")</f>
        <v>0</v>
      </c>
      <c r="AO2">
        <f>BDH("SARO US Equity","CF_FREE_CASH_FLOW","1993-06-18","2026-05-02","Per=Y","Days=T","Dir=V")</f>
        <v>0</v>
      </c>
      <c r="AQ2">
        <f>BDH("SARO US Equity","PX_LAST","1993-06-18","2026-05-02","Per=M","Days=T","Dir=V")</f>
        <v>0</v>
      </c>
      <c r="AS2">
        <f>BDH("SARO US Equity","CUR_MKT_CAP","1993-06-18","2026-05-02","Per=M","Days=T","Dir=V")</f>
        <v>0</v>
      </c>
      <c r="AU2">
        <f>BDH("SARO US Equity","EQY_SH_OUT","1993-06-18","2026-05-02","Per=M","Days=T","Dir=V")</f>
        <v>0</v>
      </c>
      <c r="AW2">
        <f>BDH("SARO US Equity","PX_VOLUME","1993-06-18","2026-05-02","Per=M","Days=T","Dir=V")</f>
        <v>0</v>
      </c>
      <c r="AY2">
        <f>BDH("SARO US Equity","TURNOVER","1993-06-18","2026-05-02","Per=M","Days=T","Dir=V")</f>
        <v>0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BDH("SBC US Equity","BS_TOT_ASSET","1993-06-18","2026-05-02","Per=Y","Days=T","Dir=V")</f>
        <v>0</v>
      </c>
      <c r="C2">
        <f>BDH("SBC US Equity","BS_TOT_LIAB2","1993-06-18","2026-05-02","Per=Y","Days=T","Dir=V")</f>
        <v>0</v>
      </c>
      <c r="E2">
        <f>BDH("SBC US Equity","SHORT_AND_LONG_TERM_DEBT","1993-06-18","2026-05-02","Per=Y","Days=T","Dir=V")</f>
        <v>0</v>
      </c>
      <c r="G2">
        <f>BDH("SBC US Equity","BS_ST_BORROW","1993-06-18","2026-05-02","Per=Y","Days=T","Dir=V")</f>
        <v>0</v>
      </c>
      <c r="I2">
        <f>BDH("SBC US Equity","BS_LT_BORROW","1993-06-18","2026-05-02","Per=Y","Days=T","Dir=V")</f>
        <v>0</v>
      </c>
      <c r="K2">
        <f>BDH("SBC US Equity","BS_CASH_NEAR_CASH_ITEM","1993-06-18","2026-05-02","Per=Y","Days=T","Dir=V")</f>
        <v>0</v>
      </c>
      <c r="M2">
        <f>BDH("SBC US Equity","BS_CUR_ASSET_REPORT","1993-06-18","2026-05-02","Per=Y","Days=T","Dir=V")</f>
        <v>0</v>
      </c>
      <c r="O2">
        <f>BDH("SBC US Equity","BS_CUR_LIAB","1993-06-18","2026-05-02","Per=Y","Days=T","Dir=V")</f>
        <v>0</v>
      </c>
      <c r="Q2">
        <f>BDH("SBC US Equity","BS_SHAREHOLDER_EQY_ENDING_PERIOD","1993-06-18","2026-05-02","Per=Y","Days=T","Dir=V")</f>
        <v>0</v>
      </c>
      <c r="S2">
        <f>BDH("SBC US Equity","BS_ACCT_NOTE_RCV","1993-06-18","2026-05-02","Per=Y","Days=T","Dir=V")</f>
        <v>0</v>
      </c>
      <c r="U2">
        <f>BDH("SBC US Equity","BS_INVENTORIES","1993-06-18","2026-05-02","Per=Y","Days=T","Dir=V")</f>
        <v>0</v>
      </c>
      <c r="W2">
        <f>BDH("SBC US Equity","WORKING_CAPITAL","1993-06-18","2026-05-02","Per=Y","Days=T","Dir=V")</f>
        <v>0</v>
      </c>
      <c r="Y2">
        <f>BDH("SBC US Equity","SALES_REV_TURN","1993-06-18","2026-05-02","Per=Y","Days=T","Dir=V")</f>
        <v>0</v>
      </c>
      <c r="AA2">
        <f>BDH("SBC US Equity","EBIT","1993-06-18","2026-05-02","Per=Y","Days=T","Dir=V")</f>
        <v>0</v>
      </c>
      <c r="AC2">
        <f>BDH("SBC US Equity","EBITDA","1993-06-18","2026-05-02","Per=Y","Days=T","Dir=V")</f>
        <v>0</v>
      </c>
      <c r="AE2">
        <f>BDH("SBC US Equity","NET_INCOME","1993-06-18","2026-05-02","Per=Y","Days=T","Dir=V")</f>
        <v>0</v>
      </c>
      <c r="AG2">
        <f>BDH("SBC US Equity","IS_INT_EXPENSE","1993-06-18","2026-05-02","Per=Y","Days=T","Dir=V")</f>
        <v>0</v>
      </c>
      <c r="AI2">
        <f>BDH("SBC US Equity","IS_DEPR_EXP","1993-06-18","2026-05-02","Per=Y","Days=T","Dir=V")</f>
        <v>0</v>
      </c>
      <c r="AK2">
        <f>BDH("SBC US Equity","CF_CASH_FROM_OPER","1993-06-18","2026-05-02","Per=Y","Days=T","Dir=V")</f>
        <v>0</v>
      </c>
      <c r="AM2">
        <f>BDH("SBC US Equity","CAPITAL_EXPEND","1993-06-18","2026-05-02","Per=Y","Days=T","Dir=V")</f>
        <v>0</v>
      </c>
      <c r="AO2">
        <f>BDH("SBC US Equity","CF_FREE_CASH_FLOW","1993-06-18","2026-05-02","Per=Y","Days=T","Dir=V")</f>
        <v>0</v>
      </c>
      <c r="AQ2">
        <f>BDH("SBC US Equity","PX_LAST","1993-06-18","2026-05-02","Per=M","Days=T","Dir=V")</f>
        <v>0</v>
      </c>
      <c r="AS2">
        <f>BDH("SBC US Equity","CUR_MKT_CAP","1993-06-18","2026-05-02","Per=M","Days=T","Dir=V")</f>
        <v>0</v>
      </c>
      <c r="AU2">
        <f>BDH("SBC US Equity","EQY_SH_OUT","1993-06-18","2026-05-02","Per=M","Days=T","Dir=V")</f>
        <v>0</v>
      </c>
      <c r="AW2">
        <f>BDH("SBC US Equity","PX_VOLUME","1993-06-18","2026-05-02","Per=M","Days=T","Dir=V")</f>
        <v>0</v>
      </c>
      <c r="AY2">
        <f>BDH("SBC US Equity","TURNOVER","1993-06-18","2026-05-02","Per=M","Days=T","Dir=V")</f>
        <v>0</v>
      </c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BDH("SBET US Equity","BS_TOT_ASSET","1993-06-18","2026-05-02","Per=Y","Days=T","Dir=V")</f>
        <v>0</v>
      </c>
      <c r="C2">
        <f>BDH("SBET US Equity","BS_TOT_LIAB2","1993-06-18","2026-05-02","Per=Y","Days=T","Dir=V")</f>
        <v>0</v>
      </c>
      <c r="E2">
        <f>BDH("SBET US Equity","SHORT_AND_LONG_TERM_DEBT","1993-06-18","2026-05-02","Per=Y","Days=T","Dir=V")</f>
        <v>0</v>
      </c>
      <c r="G2">
        <f>BDH("SBET US Equity","BS_ST_BORROW","1993-06-18","2026-05-02","Per=Y","Days=T","Dir=V")</f>
        <v>0</v>
      </c>
      <c r="I2">
        <f>BDH("SBET US Equity","BS_LT_BORROW","1993-06-18","2026-05-02","Per=Y","Days=T","Dir=V")</f>
        <v>0</v>
      </c>
      <c r="K2">
        <f>BDH("SBET US Equity","BS_CASH_NEAR_CASH_ITEM","1993-06-18","2026-05-02","Per=Y","Days=T","Dir=V")</f>
        <v>0</v>
      </c>
      <c r="M2">
        <f>BDH("SBET US Equity","BS_CUR_ASSET_REPORT","1993-06-18","2026-05-02","Per=Y","Days=T","Dir=V")</f>
        <v>0</v>
      </c>
      <c r="O2">
        <f>BDH("SBET US Equity","BS_CUR_LIAB","1993-06-18","2026-05-02","Per=Y","Days=T","Dir=V")</f>
        <v>0</v>
      </c>
      <c r="Q2">
        <f>BDH("SBET US Equity","BS_SHAREHOLDER_EQY_ENDING_PERIOD","1993-06-18","2026-05-02","Per=Y","Days=T","Dir=V")</f>
        <v>0</v>
      </c>
      <c r="S2">
        <f>BDH("SBET US Equity","BS_ACCT_NOTE_RCV","1993-06-18","2026-05-02","Per=Y","Days=T","Dir=V")</f>
        <v>0</v>
      </c>
      <c r="U2">
        <f>BDH("SBET US Equity","BS_INVENTORIES","1993-06-18","2026-05-02","Per=Y","Days=T","Dir=V")</f>
        <v>0</v>
      </c>
      <c r="W2">
        <f>BDH("SBET US Equity","WORKING_CAPITAL","1993-06-18","2026-05-02","Per=Y","Days=T","Dir=V")</f>
        <v>0</v>
      </c>
      <c r="Y2">
        <f>BDH("SBET US Equity","SALES_REV_TURN","1993-06-18","2026-05-02","Per=Y","Days=T","Dir=V")</f>
        <v>0</v>
      </c>
      <c r="AA2">
        <f>BDH("SBET US Equity","EBIT","1993-06-18","2026-05-02","Per=Y","Days=T","Dir=V")</f>
        <v>0</v>
      </c>
      <c r="AC2">
        <f>BDH("SBET US Equity","EBITDA","1993-06-18","2026-05-02","Per=Y","Days=T","Dir=V")</f>
        <v>0</v>
      </c>
      <c r="AE2">
        <f>BDH("SBET US Equity","NET_INCOME","1993-06-18","2026-05-02","Per=Y","Days=T","Dir=V")</f>
        <v>0</v>
      </c>
      <c r="AG2">
        <f>BDH("SBET US Equity","IS_INT_EXPENSE","1993-06-18","2026-05-02","Per=Y","Days=T","Dir=V")</f>
        <v>0</v>
      </c>
      <c r="AI2">
        <f>BDH("SBET US Equity","IS_DEPR_EXP","1993-06-18","2026-05-02","Per=Y","Days=T","Dir=V")</f>
        <v>0</v>
      </c>
      <c r="AK2">
        <f>BDH("SBET US Equity","CF_CASH_FROM_OPER","1993-06-18","2026-05-02","Per=Y","Days=T","Dir=V")</f>
        <v>0</v>
      </c>
      <c r="AM2">
        <f>BDH("SBET US Equity","CAPITAL_EXPEND","1993-06-18","2026-05-02","Per=Y","Days=T","Dir=V")</f>
        <v>0</v>
      </c>
      <c r="AO2">
        <f>BDH("SBET US Equity","CF_FREE_CASH_FLOW","1993-06-18","2026-05-02","Per=Y","Days=T","Dir=V")</f>
        <v>0</v>
      </c>
      <c r="AQ2">
        <f>BDH("SBET US Equity","PX_LAST","1993-06-18","2026-05-02","Per=M","Days=T","Dir=V")</f>
        <v>0</v>
      </c>
      <c r="AS2">
        <f>BDH("SBET US Equity","CUR_MKT_CAP","1993-06-18","2026-05-02","Per=M","Days=T","Dir=V")</f>
        <v>0</v>
      </c>
      <c r="AU2">
        <f>BDH("SBET US Equity","EQY_SH_OUT","1993-06-18","2026-05-02","Per=M","Days=T","Dir=V")</f>
        <v>0</v>
      </c>
      <c r="AW2">
        <f>BDH("SBET US Equity","PX_VOLUME","1993-06-18","2026-05-02","Per=M","Days=T","Dir=V")</f>
        <v>0</v>
      </c>
      <c r="AY2">
        <f>BDH("SBET US Equity","TURNOVER","1993-06-18","2026-05-02","Per=M","Days=T","Dir=V")</f>
        <v>0</v>
      </c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BDH("SBGI US Equity","BS_TOT_ASSET","1993-06-18","2026-05-02","Per=Y","Days=T","Dir=V")</f>
        <v>0</v>
      </c>
      <c r="C2">
        <f>BDH("SBGI US Equity","BS_TOT_LIAB2","1993-06-18","2026-05-02","Per=Y","Days=T","Dir=V")</f>
        <v>0</v>
      </c>
      <c r="E2">
        <f>BDH("SBGI US Equity","SHORT_AND_LONG_TERM_DEBT","1993-06-18","2026-05-02","Per=Y","Days=T","Dir=V")</f>
        <v>0</v>
      </c>
      <c r="G2">
        <f>BDH("SBGI US Equity","BS_ST_BORROW","1993-06-18","2026-05-02","Per=Y","Days=T","Dir=V")</f>
        <v>0</v>
      </c>
      <c r="I2">
        <f>BDH("SBGI US Equity","BS_LT_BORROW","1993-06-18","2026-05-02","Per=Y","Days=T","Dir=V")</f>
        <v>0</v>
      </c>
      <c r="K2">
        <f>BDH("SBGI US Equity","BS_CASH_NEAR_CASH_ITEM","1993-06-18","2026-05-02","Per=Y","Days=T","Dir=V")</f>
        <v>0</v>
      </c>
      <c r="M2">
        <f>BDH("SBGI US Equity","BS_CUR_ASSET_REPORT","1993-06-18","2026-05-02","Per=Y","Days=T","Dir=V")</f>
        <v>0</v>
      </c>
      <c r="O2">
        <f>BDH("SBGI US Equity","BS_CUR_LIAB","1993-06-18","2026-05-02","Per=Y","Days=T","Dir=V")</f>
        <v>0</v>
      </c>
      <c r="Q2">
        <f>BDH("SBGI US Equity","BS_SHAREHOLDER_EQY_ENDING_PERIOD","1993-06-18","2026-05-02","Per=Y","Days=T","Dir=V")</f>
        <v>0</v>
      </c>
      <c r="S2">
        <f>BDH("SBGI US Equity","BS_ACCT_NOTE_RCV","1993-06-18","2026-05-02","Per=Y","Days=T","Dir=V")</f>
        <v>0</v>
      </c>
      <c r="U2">
        <f>BDH("SBGI US Equity","BS_INVENTORIES","1993-06-18","2026-05-02","Per=Y","Days=T","Dir=V")</f>
        <v>0</v>
      </c>
      <c r="W2">
        <f>BDH("SBGI US Equity","WORKING_CAPITAL","1993-06-18","2026-05-02","Per=Y","Days=T","Dir=V")</f>
        <v>0</v>
      </c>
      <c r="Y2">
        <f>BDH("SBGI US Equity","SALES_REV_TURN","1993-06-18","2026-05-02","Per=Y","Days=T","Dir=V")</f>
        <v>0</v>
      </c>
      <c r="AA2">
        <f>BDH("SBGI US Equity","EBIT","1993-06-18","2026-05-02","Per=Y","Days=T","Dir=V")</f>
        <v>0</v>
      </c>
      <c r="AC2">
        <f>BDH("SBGI US Equity","EBITDA","1993-06-18","2026-05-02","Per=Y","Days=T","Dir=V")</f>
        <v>0</v>
      </c>
      <c r="AE2">
        <f>BDH("SBGI US Equity","NET_INCOME","1993-06-18","2026-05-02","Per=Y","Days=T","Dir=V")</f>
        <v>0</v>
      </c>
      <c r="AG2">
        <f>BDH("SBGI US Equity","IS_INT_EXPENSE","1993-06-18","2026-05-02","Per=Y","Days=T","Dir=V")</f>
        <v>0</v>
      </c>
      <c r="AI2">
        <f>BDH("SBGI US Equity","IS_DEPR_EXP","1993-06-18","2026-05-02","Per=Y","Days=T","Dir=V")</f>
        <v>0</v>
      </c>
      <c r="AK2">
        <f>BDH("SBGI US Equity","CF_CASH_FROM_OPER","1993-06-18","2026-05-02","Per=Y","Days=T","Dir=V")</f>
        <v>0</v>
      </c>
      <c r="AM2">
        <f>BDH("SBGI US Equity","CAPITAL_EXPEND","1993-06-18","2026-05-02","Per=Y","Days=T","Dir=V")</f>
        <v>0</v>
      </c>
      <c r="AO2">
        <f>BDH("SBGI US Equity","CF_FREE_CASH_FLOW","1993-06-18","2026-05-02","Per=Y","Days=T","Dir=V")</f>
        <v>0</v>
      </c>
      <c r="AQ2">
        <f>BDH("SBGI US Equity","PX_LAST","1993-06-18","2026-05-02","Per=M","Days=T","Dir=V")</f>
        <v>0</v>
      </c>
      <c r="AS2">
        <f>BDH("SBGI US Equity","CUR_MKT_CAP","1993-06-18","2026-05-02","Per=M","Days=T","Dir=V")</f>
        <v>0</v>
      </c>
      <c r="AU2">
        <f>BDH("SBGI US Equity","EQY_SH_OUT","1993-06-18","2026-05-02","Per=M","Days=T","Dir=V")</f>
        <v>0</v>
      </c>
      <c r="AW2">
        <f>BDH("SBGI US Equity","PX_VOLUME","1993-06-18","2026-05-02","Per=M","Days=T","Dir=V")</f>
        <v>0</v>
      </c>
      <c r="AY2">
        <f>BDH("SBGI US Equity","TURNOVER","1993-06-18","2026-05-02","Per=M","Days=T","Dir=V")</f>
        <v>0</v>
      </c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BDH("SBH US Equity","BS_TOT_ASSET","1993-06-18","2026-05-02","Per=Y","Days=T","Dir=V")</f>
        <v>0</v>
      </c>
      <c r="C2">
        <f>BDH("SBH US Equity","BS_TOT_LIAB2","1993-06-18","2026-05-02","Per=Y","Days=T","Dir=V")</f>
        <v>0</v>
      </c>
      <c r="E2">
        <f>BDH("SBH US Equity","SHORT_AND_LONG_TERM_DEBT","1993-06-18","2026-05-02","Per=Y","Days=T","Dir=V")</f>
        <v>0</v>
      </c>
      <c r="G2">
        <f>BDH("SBH US Equity","BS_ST_BORROW","1993-06-18","2026-05-02","Per=Y","Days=T","Dir=V")</f>
        <v>0</v>
      </c>
      <c r="I2">
        <f>BDH("SBH US Equity","BS_LT_BORROW","1993-06-18","2026-05-02","Per=Y","Days=T","Dir=V")</f>
        <v>0</v>
      </c>
      <c r="K2">
        <f>BDH("SBH US Equity","BS_CASH_NEAR_CASH_ITEM","1993-06-18","2026-05-02","Per=Y","Days=T","Dir=V")</f>
        <v>0</v>
      </c>
      <c r="M2">
        <f>BDH("SBH US Equity","BS_CUR_ASSET_REPORT","1993-06-18","2026-05-02","Per=Y","Days=T","Dir=V")</f>
        <v>0</v>
      </c>
      <c r="O2">
        <f>BDH("SBH US Equity","BS_CUR_LIAB","1993-06-18","2026-05-02","Per=Y","Days=T","Dir=V")</f>
        <v>0</v>
      </c>
      <c r="Q2">
        <f>BDH("SBH US Equity","BS_SHAREHOLDER_EQY_ENDING_PERIOD","1993-06-18","2026-05-02","Per=Y","Days=T","Dir=V")</f>
        <v>0</v>
      </c>
      <c r="S2">
        <f>BDH("SBH US Equity","BS_ACCT_NOTE_RCV","1993-06-18","2026-05-02","Per=Y","Days=T","Dir=V")</f>
        <v>0</v>
      </c>
      <c r="U2">
        <f>BDH("SBH US Equity","BS_INVENTORIES","1993-06-18","2026-05-02","Per=Y","Days=T","Dir=V")</f>
        <v>0</v>
      </c>
      <c r="W2">
        <f>BDH("SBH US Equity","WORKING_CAPITAL","1993-06-18","2026-05-02","Per=Y","Days=T","Dir=V")</f>
        <v>0</v>
      </c>
      <c r="Y2">
        <f>BDH("SBH US Equity","SALES_REV_TURN","1993-06-18","2026-05-02","Per=Y","Days=T","Dir=V")</f>
        <v>0</v>
      </c>
      <c r="AA2">
        <f>BDH("SBH US Equity","EBIT","1993-06-18","2026-05-02","Per=Y","Days=T","Dir=V")</f>
        <v>0</v>
      </c>
      <c r="AC2">
        <f>BDH("SBH US Equity","EBITDA","1993-06-18","2026-05-02","Per=Y","Days=T","Dir=V")</f>
        <v>0</v>
      </c>
      <c r="AE2">
        <f>BDH("SBH US Equity","NET_INCOME","1993-06-18","2026-05-02","Per=Y","Days=T","Dir=V")</f>
        <v>0</v>
      </c>
      <c r="AG2">
        <f>BDH("SBH US Equity","IS_INT_EXPENSE","1993-06-18","2026-05-02","Per=Y","Days=T","Dir=V")</f>
        <v>0</v>
      </c>
      <c r="AI2">
        <f>BDH("SBH US Equity","IS_DEPR_EXP","1993-06-18","2026-05-02","Per=Y","Days=T","Dir=V")</f>
        <v>0</v>
      </c>
      <c r="AK2">
        <f>BDH("SBH US Equity","CF_CASH_FROM_OPER","1993-06-18","2026-05-02","Per=Y","Days=T","Dir=V")</f>
        <v>0</v>
      </c>
      <c r="AM2">
        <f>BDH("SBH US Equity","CAPITAL_EXPEND","1993-06-18","2026-05-02","Per=Y","Days=T","Dir=V")</f>
        <v>0</v>
      </c>
      <c r="AO2">
        <f>BDH("SBH US Equity","CF_FREE_CASH_FLOW","1993-06-18","2026-05-02","Per=Y","Days=T","Dir=V")</f>
        <v>0</v>
      </c>
      <c r="AQ2">
        <f>BDH("SBH US Equity","PX_LAST","1993-06-18","2026-05-02","Per=M","Days=T","Dir=V")</f>
        <v>0</v>
      </c>
      <c r="AS2">
        <f>BDH("SBH US Equity","CUR_MKT_CAP","1993-06-18","2026-05-02","Per=M","Days=T","Dir=V")</f>
        <v>0</v>
      </c>
      <c r="AU2">
        <f>BDH("SBH US Equity","EQY_SH_OUT","1993-06-18","2026-05-02","Per=M","Days=T","Dir=V")</f>
        <v>0</v>
      </c>
      <c r="AW2">
        <f>BDH("SBH US Equity","PX_VOLUME","1993-06-18","2026-05-02","Per=M","Days=T","Dir=V")</f>
        <v>0</v>
      </c>
      <c r="AY2">
        <f>BDH("SBH US Equity","TURNOVER","1993-06-18","2026-05-02","Per=M","Days=T","Dir=V")</f>
        <v>0</v>
      </c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BDH("SBR US Equity","BS_TOT_ASSET","1993-06-18","2026-05-02","Per=Y","Days=T","Dir=V")</f>
        <v>0</v>
      </c>
      <c r="C2">
        <f>BDH("SBR US Equity","BS_TOT_LIAB2","1993-06-18","2026-05-02","Per=Y","Days=T","Dir=V")</f>
        <v>0</v>
      </c>
      <c r="E2">
        <f>BDH("SBR US Equity","SHORT_AND_LONG_TERM_DEBT","1993-06-18","2026-05-02","Per=Y","Days=T","Dir=V")</f>
        <v>0</v>
      </c>
      <c r="G2">
        <f>BDH("SBR US Equity","BS_ST_BORROW","1993-06-18","2026-05-02","Per=Y","Days=T","Dir=V")</f>
        <v>0</v>
      </c>
      <c r="I2">
        <f>BDH("SBR US Equity","BS_LT_BORROW","1993-06-18","2026-05-02","Per=Y","Days=T","Dir=V")</f>
        <v>0</v>
      </c>
      <c r="K2">
        <f>BDH("SBR US Equity","BS_CASH_NEAR_CASH_ITEM","1993-06-18","2026-05-02","Per=Y","Days=T","Dir=V")</f>
        <v>0</v>
      </c>
      <c r="M2">
        <f>BDH("SBR US Equity","BS_CUR_ASSET_REPORT","1993-06-18","2026-05-02","Per=Y","Days=T","Dir=V")</f>
        <v>0</v>
      </c>
      <c r="O2">
        <f>BDH("SBR US Equity","BS_CUR_LIAB","1993-06-18","2026-05-02","Per=Y","Days=T","Dir=V")</f>
        <v>0</v>
      </c>
      <c r="Q2">
        <f>BDH("SBR US Equity","BS_SHAREHOLDER_EQY_ENDING_PERIOD","1993-06-18","2026-05-02","Per=Y","Days=T","Dir=V")</f>
        <v>0</v>
      </c>
      <c r="S2">
        <f>BDH("SBR US Equity","BS_ACCT_NOTE_RCV","1993-06-18","2026-05-02","Per=Y","Days=T","Dir=V")</f>
        <v>0</v>
      </c>
      <c r="U2">
        <f>BDH("SBR US Equity","BS_INVENTORIES","1993-06-18","2026-05-02","Per=Y","Days=T","Dir=V")</f>
        <v>0</v>
      </c>
      <c r="W2">
        <f>BDH("SBR US Equity","WORKING_CAPITAL","1993-06-18","2026-05-02","Per=Y","Days=T","Dir=V")</f>
        <v>0</v>
      </c>
      <c r="Y2">
        <f>BDH("SBR US Equity","SALES_REV_TURN","1993-06-18","2026-05-02","Per=Y","Days=T","Dir=V")</f>
        <v>0</v>
      </c>
      <c r="AA2">
        <f>BDH("SBR US Equity","EBIT","1993-06-18","2026-05-02","Per=Y","Days=T","Dir=V")</f>
        <v>0</v>
      </c>
      <c r="AC2">
        <f>BDH("SBR US Equity","EBITDA","1993-06-18","2026-05-02","Per=Y","Days=T","Dir=V")</f>
        <v>0</v>
      </c>
      <c r="AE2">
        <f>BDH("SBR US Equity","NET_INCOME","1993-06-18","2026-05-02","Per=Y","Days=T","Dir=V")</f>
        <v>0</v>
      </c>
      <c r="AG2">
        <f>BDH("SBR US Equity","IS_INT_EXPENSE","1993-06-18","2026-05-02","Per=Y","Days=T","Dir=V")</f>
        <v>0</v>
      </c>
      <c r="AI2">
        <f>BDH("SBR US Equity","IS_DEPR_EXP","1993-06-18","2026-05-02","Per=Y","Days=T","Dir=V")</f>
        <v>0</v>
      </c>
      <c r="AK2">
        <f>BDH("SBR US Equity","CF_CASH_FROM_OPER","1993-06-18","2026-05-02","Per=Y","Days=T","Dir=V")</f>
        <v>0</v>
      </c>
      <c r="AM2">
        <f>BDH("SBR US Equity","CAPITAL_EXPEND","1993-06-18","2026-05-02","Per=Y","Days=T","Dir=V")</f>
        <v>0</v>
      </c>
      <c r="AO2">
        <f>BDH("SBR US Equity","CF_FREE_CASH_FLOW","1993-06-18","2026-05-02","Per=Y","Days=T","Dir=V")</f>
        <v>0</v>
      </c>
      <c r="AQ2">
        <f>BDH("SBR US Equity","PX_LAST","1993-06-18","2026-05-02","Per=M","Days=T","Dir=V")</f>
        <v>0</v>
      </c>
      <c r="AS2">
        <f>BDH("SBR US Equity","CUR_MKT_CAP","1993-06-18","2026-05-02","Per=M","Days=T","Dir=V")</f>
        <v>0</v>
      </c>
      <c r="AU2">
        <f>BDH("SBR US Equity","EQY_SH_OUT","1993-06-18","2026-05-02","Per=M","Days=T","Dir=V")</f>
        <v>0</v>
      </c>
      <c r="AW2">
        <f>BDH("SBR US Equity","PX_VOLUME","1993-06-18","2026-05-02","Per=M","Days=T","Dir=V")</f>
        <v>0</v>
      </c>
      <c r="AY2">
        <f>BDH("SBR US Equity","TURNOVER","1993-06-18","2026-05-02","Per=M","Days=T","Dir=V")</f>
        <v>0</v>
      </c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BDH("SBUX US Equity","BS_TOT_ASSET","1993-06-18","2026-05-02","Per=Y","Days=T","Dir=V")</f>
        <v>0</v>
      </c>
      <c r="C2">
        <f>BDH("SBUX US Equity","BS_TOT_LIAB2","1993-06-18","2026-05-02","Per=Y","Days=T","Dir=V")</f>
        <v>0</v>
      </c>
      <c r="E2">
        <f>BDH("SBUX US Equity","SHORT_AND_LONG_TERM_DEBT","1993-06-18","2026-05-02","Per=Y","Days=T","Dir=V")</f>
        <v>0</v>
      </c>
      <c r="G2">
        <f>BDH("SBUX US Equity","BS_ST_BORROW","1993-06-18","2026-05-02","Per=Y","Days=T","Dir=V")</f>
        <v>0</v>
      </c>
      <c r="I2">
        <f>BDH("SBUX US Equity","BS_LT_BORROW","1993-06-18","2026-05-02","Per=Y","Days=T","Dir=V")</f>
        <v>0</v>
      </c>
      <c r="K2">
        <f>BDH("SBUX US Equity","BS_CASH_NEAR_CASH_ITEM","1993-06-18","2026-05-02","Per=Y","Days=T","Dir=V")</f>
        <v>0</v>
      </c>
      <c r="M2">
        <f>BDH("SBUX US Equity","BS_CUR_ASSET_REPORT","1993-06-18","2026-05-02","Per=Y","Days=T","Dir=V")</f>
        <v>0</v>
      </c>
      <c r="O2">
        <f>BDH("SBUX US Equity","BS_CUR_LIAB","1993-06-18","2026-05-02","Per=Y","Days=T","Dir=V")</f>
        <v>0</v>
      </c>
      <c r="Q2">
        <f>BDH("SBUX US Equity","BS_SHAREHOLDER_EQY_ENDING_PERIOD","1993-06-18","2026-05-02","Per=Y","Days=T","Dir=V")</f>
        <v>0</v>
      </c>
      <c r="S2">
        <f>BDH("SBUX US Equity","BS_ACCT_NOTE_RCV","1993-06-18","2026-05-02","Per=Y","Days=T","Dir=V")</f>
        <v>0</v>
      </c>
      <c r="U2">
        <f>BDH("SBUX US Equity","BS_INVENTORIES","1993-06-18","2026-05-02","Per=Y","Days=T","Dir=V")</f>
        <v>0</v>
      </c>
      <c r="W2">
        <f>BDH("SBUX US Equity","WORKING_CAPITAL","1993-06-18","2026-05-02","Per=Y","Days=T","Dir=V")</f>
        <v>0</v>
      </c>
      <c r="Y2">
        <f>BDH("SBUX US Equity","SALES_REV_TURN","1993-06-18","2026-05-02","Per=Y","Days=T","Dir=V")</f>
        <v>0</v>
      </c>
      <c r="AA2">
        <f>BDH("SBUX US Equity","EBIT","1993-06-18","2026-05-02","Per=Y","Days=T","Dir=V")</f>
        <v>0</v>
      </c>
      <c r="AC2">
        <f>BDH("SBUX US Equity","EBITDA","1993-06-18","2026-05-02","Per=Y","Days=T","Dir=V")</f>
        <v>0</v>
      </c>
      <c r="AE2">
        <f>BDH("SBUX US Equity","NET_INCOME","1993-06-18","2026-05-02","Per=Y","Days=T","Dir=V")</f>
        <v>0</v>
      </c>
      <c r="AG2">
        <f>BDH("SBUX US Equity","IS_INT_EXPENSE","1993-06-18","2026-05-02","Per=Y","Days=T","Dir=V")</f>
        <v>0</v>
      </c>
      <c r="AI2">
        <f>BDH("SBUX US Equity","IS_DEPR_EXP","1993-06-18","2026-05-02","Per=Y","Days=T","Dir=V")</f>
        <v>0</v>
      </c>
      <c r="AK2">
        <f>BDH("SBUX US Equity","CF_CASH_FROM_OPER","1993-06-18","2026-05-02","Per=Y","Days=T","Dir=V")</f>
        <v>0</v>
      </c>
      <c r="AM2">
        <f>BDH("SBUX US Equity","CAPITAL_EXPEND","1993-06-18","2026-05-02","Per=Y","Days=T","Dir=V")</f>
        <v>0</v>
      </c>
      <c r="AO2">
        <f>BDH("SBUX US Equity","CF_FREE_CASH_FLOW","1993-06-18","2026-05-02","Per=Y","Days=T","Dir=V")</f>
        <v>0</v>
      </c>
      <c r="AQ2">
        <f>BDH("SBUX US Equity","PX_LAST","1993-06-18","2026-05-02","Per=M","Days=T","Dir=V")</f>
        <v>0</v>
      </c>
      <c r="AS2">
        <f>BDH("SBUX US Equity","CUR_MKT_CAP","1993-06-18","2026-05-02","Per=M","Days=T","Dir=V")</f>
        <v>0</v>
      </c>
      <c r="AU2">
        <f>BDH("SBUX US Equity","EQY_SH_OUT","1993-06-18","2026-05-02","Per=M","Days=T","Dir=V")</f>
        <v>0</v>
      </c>
      <c r="AW2">
        <f>BDH("SBUX US Equity","PX_VOLUME","1993-06-18","2026-05-02","Per=M","Days=T","Dir=V")</f>
        <v>0</v>
      </c>
      <c r="AY2">
        <f>BDH("SBUX US Equity","TURNOVER","1993-06-18","2026-05-02","Per=M","Days=T","Dir=V")</f>
        <v>0</v>
      </c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BDH("SCCO US Equity","BS_TOT_ASSET","1993-06-18","2026-05-02","Per=Y","Days=T","Dir=V")</f>
        <v>0</v>
      </c>
      <c r="C2">
        <f>BDH("SCCO US Equity","BS_TOT_LIAB2","1993-06-18","2026-05-02","Per=Y","Days=T","Dir=V")</f>
        <v>0</v>
      </c>
      <c r="E2">
        <f>BDH("SCCO US Equity","SHORT_AND_LONG_TERM_DEBT","1993-06-18","2026-05-02","Per=Y","Days=T","Dir=V")</f>
        <v>0</v>
      </c>
      <c r="G2">
        <f>BDH("SCCO US Equity","BS_ST_BORROW","1993-06-18","2026-05-02","Per=Y","Days=T","Dir=V")</f>
        <v>0</v>
      </c>
      <c r="I2">
        <f>BDH("SCCO US Equity","BS_LT_BORROW","1993-06-18","2026-05-02","Per=Y","Days=T","Dir=V")</f>
        <v>0</v>
      </c>
      <c r="K2">
        <f>BDH("SCCO US Equity","BS_CASH_NEAR_CASH_ITEM","1993-06-18","2026-05-02","Per=Y","Days=T","Dir=V")</f>
        <v>0</v>
      </c>
      <c r="M2">
        <f>BDH("SCCO US Equity","BS_CUR_ASSET_REPORT","1993-06-18","2026-05-02","Per=Y","Days=T","Dir=V")</f>
        <v>0</v>
      </c>
      <c r="O2">
        <f>BDH("SCCO US Equity","BS_CUR_LIAB","1993-06-18","2026-05-02","Per=Y","Days=T","Dir=V")</f>
        <v>0</v>
      </c>
      <c r="Q2">
        <f>BDH("SCCO US Equity","BS_SHAREHOLDER_EQY_ENDING_PERIOD","1993-06-18","2026-05-02","Per=Y","Days=T","Dir=V")</f>
        <v>0</v>
      </c>
      <c r="S2">
        <f>BDH("SCCO US Equity","BS_ACCT_NOTE_RCV","1993-06-18","2026-05-02","Per=Y","Days=T","Dir=V")</f>
        <v>0</v>
      </c>
      <c r="U2">
        <f>BDH("SCCO US Equity","BS_INVENTORIES","1993-06-18","2026-05-02","Per=Y","Days=T","Dir=V")</f>
        <v>0</v>
      </c>
      <c r="W2">
        <f>BDH("SCCO US Equity","WORKING_CAPITAL","1993-06-18","2026-05-02","Per=Y","Days=T","Dir=V")</f>
        <v>0</v>
      </c>
      <c r="Y2">
        <f>BDH("SCCO US Equity","SALES_REV_TURN","1993-06-18","2026-05-02","Per=Y","Days=T","Dir=V")</f>
        <v>0</v>
      </c>
      <c r="AA2">
        <f>BDH("SCCO US Equity","EBIT","1993-06-18","2026-05-02","Per=Y","Days=T","Dir=V")</f>
        <v>0</v>
      </c>
      <c r="AC2">
        <f>BDH("SCCO US Equity","EBITDA","1993-06-18","2026-05-02","Per=Y","Days=T","Dir=V")</f>
        <v>0</v>
      </c>
      <c r="AE2">
        <f>BDH("SCCO US Equity","NET_INCOME","1993-06-18","2026-05-02","Per=Y","Days=T","Dir=V")</f>
        <v>0</v>
      </c>
      <c r="AG2">
        <f>BDH("SCCO US Equity","IS_INT_EXPENSE","1993-06-18","2026-05-02","Per=Y","Days=T","Dir=V")</f>
        <v>0</v>
      </c>
      <c r="AI2">
        <f>BDH("SCCO US Equity","IS_DEPR_EXP","1993-06-18","2026-05-02","Per=Y","Days=T","Dir=V")</f>
        <v>0</v>
      </c>
      <c r="AK2">
        <f>BDH("SCCO US Equity","CF_CASH_FROM_OPER","1993-06-18","2026-05-02","Per=Y","Days=T","Dir=V")</f>
        <v>0</v>
      </c>
      <c r="AM2">
        <f>BDH("SCCO US Equity","CAPITAL_EXPEND","1993-06-18","2026-05-02","Per=Y","Days=T","Dir=V")</f>
        <v>0</v>
      </c>
      <c r="AO2">
        <f>BDH("SCCO US Equity","CF_FREE_CASH_FLOW","1993-06-18","2026-05-02","Per=Y","Days=T","Dir=V")</f>
        <v>0</v>
      </c>
      <c r="AQ2">
        <f>BDH("SCCO US Equity","PX_LAST","1993-06-18","2026-05-02","Per=M","Days=T","Dir=V")</f>
        <v>0</v>
      </c>
      <c r="AS2">
        <f>BDH("SCCO US Equity","CUR_MKT_CAP","1993-06-18","2026-05-02","Per=M","Days=T","Dir=V")</f>
        <v>0</v>
      </c>
      <c r="AU2">
        <f>BDH("SCCO US Equity","EQY_SH_OUT","1993-06-18","2026-05-02","Per=M","Days=T","Dir=V")</f>
        <v>0</v>
      </c>
      <c r="AW2">
        <f>BDH("SCCO US Equity","PX_VOLUME","1993-06-18","2026-05-02","Per=M","Days=T","Dir=V")</f>
        <v>0</v>
      </c>
      <c r="AY2">
        <f>BDH("SCCO US Equity","TURNOVER","1993-06-18","2026-05-02","Per=M","Days=T","Dir=V")</f>
        <v>0</v>
      </c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BDH("SCHL US Equity","BS_TOT_ASSET","1993-06-18","2026-05-02","Per=Y","Days=T","Dir=V")</f>
        <v>0</v>
      </c>
      <c r="C2">
        <f>BDH("SCHL US Equity","BS_TOT_LIAB2","1993-06-18","2026-05-02","Per=Y","Days=T","Dir=V")</f>
        <v>0</v>
      </c>
      <c r="E2">
        <f>BDH("SCHL US Equity","SHORT_AND_LONG_TERM_DEBT","1993-06-18","2026-05-02","Per=Y","Days=T","Dir=V")</f>
        <v>0</v>
      </c>
      <c r="G2">
        <f>BDH("SCHL US Equity","BS_ST_BORROW","1993-06-18","2026-05-02","Per=Y","Days=T","Dir=V")</f>
        <v>0</v>
      </c>
      <c r="I2">
        <f>BDH("SCHL US Equity","BS_LT_BORROW","1993-06-18","2026-05-02","Per=Y","Days=T","Dir=V")</f>
        <v>0</v>
      </c>
      <c r="K2">
        <f>BDH("SCHL US Equity","BS_CASH_NEAR_CASH_ITEM","1993-06-18","2026-05-02","Per=Y","Days=T","Dir=V")</f>
        <v>0</v>
      </c>
      <c r="M2">
        <f>BDH("SCHL US Equity","BS_CUR_ASSET_REPORT","1993-06-18","2026-05-02","Per=Y","Days=T","Dir=V")</f>
        <v>0</v>
      </c>
      <c r="O2">
        <f>BDH("SCHL US Equity","BS_CUR_LIAB","1993-06-18","2026-05-02","Per=Y","Days=T","Dir=V")</f>
        <v>0</v>
      </c>
      <c r="Q2">
        <f>BDH("SCHL US Equity","BS_SHAREHOLDER_EQY_ENDING_PERIOD","1993-06-18","2026-05-02","Per=Y","Days=T","Dir=V")</f>
        <v>0</v>
      </c>
      <c r="S2">
        <f>BDH("SCHL US Equity","BS_ACCT_NOTE_RCV","1993-06-18","2026-05-02","Per=Y","Days=T","Dir=V")</f>
        <v>0</v>
      </c>
      <c r="U2">
        <f>BDH("SCHL US Equity","BS_INVENTORIES","1993-06-18","2026-05-02","Per=Y","Days=T","Dir=V")</f>
        <v>0</v>
      </c>
      <c r="W2">
        <f>BDH("SCHL US Equity","WORKING_CAPITAL","1993-06-18","2026-05-02","Per=Y","Days=T","Dir=V")</f>
        <v>0</v>
      </c>
      <c r="Y2">
        <f>BDH("SCHL US Equity","SALES_REV_TURN","1993-06-18","2026-05-02","Per=Y","Days=T","Dir=V")</f>
        <v>0</v>
      </c>
      <c r="AA2">
        <f>BDH("SCHL US Equity","EBIT","1993-06-18","2026-05-02","Per=Y","Days=T","Dir=V")</f>
        <v>0</v>
      </c>
      <c r="AC2">
        <f>BDH("SCHL US Equity","EBITDA","1993-06-18","2026-05-02","Per=Y","Days=T","Dir=V")</f>
        <v>0</v>
      </c>
      <c r="AE2">
        <f>BDH("SCHL US Equity","NET_INCOME","1993-06-18","2026-05-02","Per=Y","Days=T","Dir=V")</f>
        <v>0</v>
      </c>
      <c r="AG2">
        <f>BDH("SCHL US Equity","IS_INT_EXPENSE","1993-06-18","2026-05-02","Per=Y","Days=T","Dir=V")</f>
        <v>0</v>
      </c>
      <c r="AI2">
        <f>BDH("SCHL US Equity","IS_DEPR_EXP","1993-06-18","2026-05-02","Per=Y","Days=T","Dir=V")</f>
        <v>0</v>
      </c>
      <c r="AK2">
        <f>BDH("SCHL US Equity","CF_CASH_FROM_OPER","1993-06-18","2026-05-02","Per=Y","Days=T","Dir=V")</f>
        <v>0</v>
      </c>
      <c r="AM2">
        <f>BDH("SCHL US Equity","CAPITAL_EXPEND","1993-06-18","2026-05-02","Per=Y","Days=T","Dir=V")</f>
        <v>0</v>
      </c>
      <c r="AO2">
        <f>BDH("SCHL US Equity","CF_FREE_CASH_FLOW","1993-06-18","2026-05-02","Per=Y","Days=T","Dir=V")</f>
        <v>0</v>
      </c>
      <c r="AQ2">
        <f>BDH("SCHL US Equity","PX_LAST","1993-06-18","2026-05-02","Per=M","Days=T","Dir=V")</f>
        <v>0</v>
      </c>
      <c r="AS2">
        <f>BDH("SCHL US Equity","CUR_MKT_CAP","1993-06-18","2026-05-02","Per=M","Days=T","Dir=V")</f>
        <v>0</v>
      </c>
      <c r="AU2">
        <f>BDH("SCHL US Equity","EQY_SH_OUT","1993-06-18","2026-05-02","Per=M","Days=T","Dir=V")</f>
        <v>0</v>
      </c>
      <c r="AW2">
        <f>BDH("SCHL US Equity","PX_VOLUME","1993-06-18","2026-05-02","Per=M","Days=T","Dir=V")</f>
        <v>0</v>
      </c>
      <c r="AY2">
        <f>BDH("SCHL US Equity","TURNOVER","1993-06-18","2026-05-02","Per=M","Days=T","Dir=V")</f>
        <v>0</v>
      </c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BDH("SCI US Equity","BS_TOT_ASSET","1993-06-18","2026-05-02","Per=Y","Days=T","Dir=V")</f>
        <v>0</v>
      </c>
      <c r="C2">
        <f>BDH("SCI US Equity","BS_TOT_LIAB2","1993-06-18","2026-05-02","Per=Y","Days=T","Dir=V")</f>
        <v>0</v>
      </c>
      <c r="E2">
        <f>BDH("SCI US Equity","SHORT_AND_LONG_TERM_DEBT","1993-06-18","2026-05-02","Per=Y","Days=T","Dir=V")</f>
        <v>0</v>
      </c>
      <c r="G2">
        <f>BDH("SCI US Equity","BS_ST_BORROW","1993-06-18","2026-05-02","Per=Y","Days=T","Dir=V")</f>
        <v>0</v>
      </c>
      <c r="I2">
        <f>BDH("SCI US Equity","BS_LT_BORROW","1993-06-18","2026-05-02","Per=Y","Days=T","Dir=V")</f>
        <v>0</v>
      </c>
      <c r="K2">
        <f>BDH("SCI US Equity","BS_CASH_NEAR_CASH_ITEM","1993-06-18","2026-05-02","Per=Y","Days=T","Dir=V")</f>
        <v>0</v>
      </c>
      <c r="M2">
        <f>BDH("SCI US Equity","BS_CUR_ASSET_REPORT","1993-06-18","2026-05-02","Per=Y","Days=T","Dir=V")</f>
        <v>0</v>
      </c>
      <c r="O2">
        <f>BDH("SCI US Equity","BS_CUR_LIAB","1993-06-18","2026-05-02","Per=Y","Days=T","Dir=V")</f>
        <v>0</v>
      </c>
      <c r="Q2">
        <f>BDH("SCI US Equity","BS_SHAREHOLDER_EQY_ENDING_PERIOD","1993-06-18","2026-05-02","Per=Y","Days=T","Dir=V")</f>
        <v>0</v>
      </c>
      <c r="S2">
        <f>BDH("SCI US Equity","BS_ACCT_NOTE_RCV","1993-06-18","2026-05-02","Per=Y","Days=T","Dir=V")</f>
        <v>0</v>
      </c>
      <c r="U2">
        <f>BDH("SCI US Equity","BS_INVENTORIES","1993-06-18","2026-05-02","Per=Y","Days=T","Dir=V")</f>
        <v>0</v>
      </c>
      <c r="W2">
        <f>BDH("SCI US Equity","WORKING_CAPITAL","1993-06-18","2026-05-02","Per=Y","Days=T","Dir=V")</f>
        <v>0</v>
      </c>
      <c r="Y2">
        <f>BDH("SCI US Equity","SALES_REV_TURN","1993-06-18","2026-05-02","Per=Y","Days=T","Dir=V")</f>
        <v>0</v>
      </c>
      <c r="AA2">
        <f>BDH("SCI US Equity","EBIT","1993-06-18","2026-05-02","Per=Y","Days=T","Dir=V")</f>
        <v>0</v>
      </c>
      <c r="AC2">
        <f>BDH("SCI US Equity","EBITDA","1993-06-18","2026-05-02","Per=Y","Days=T","Dir=V")</f>
        <v>0</v>
      </c>
      <c r="AE2">
        <f>BDH("SCI US Equity","NET_INCOME","1993-06-18","2026-05-02","Per=Y","Days=T","Dir=V")</f>
        <v>0</v>
      </c>
      <c r="AG2">
        <f>BDH("SCI US Equity","IS_INT_EXPENSE","1993-06-18","2026-05-02","Per=Y","Days=T","Dir=V")</f>
        <v>0</v>
      </c>
      <c r="AI2">
        <f>BDH("SCI US Equity","IS_DEPR_EXP","1993-06-18","2026-05-02","Per=Y","Days=T","Dir=V")</f>
        <v>0</v>
      </c>
      <c r="AK2">
        <f>BDH("SCI US Equity","CF_CASH_FROM_OPER","1993-06-18","2026-05-02","Per=Y","Days=T","Dir=V")</f>
        <v>0</v>
      </c>
      <c r="AM2">
        <f>BDH("SCI US Equity","CAPITAL_EXPEND","1993-06-18","2026-05-02","Per=Y","Days=T","Dir=V")</f>
        <v>0</v>
      </c>
      <c r="AO2">
        <f>BDH("SCI US Equity","CF_FREE_CASH_FLOW","1993-06-18","2026-05-02","Per=Y","Days=T","Dir=V")</f>
        <v>0</v>
      </c>
      <c r="AQ2">
        <f>BDH("SCI US Equity","PX_LAST","1993-06-18","2026-05-02","Per=M","Days=T","Dir=V")</f>
        <v>0</v>
      </c>
      <c r="AS2">
        <f>BDH("SCI US Equity","CUR_MKT_CAP","1993-06-18","2026-05-02","Per=M","Days=T","Dir=V")</f>
        <v>0</v>
      </c>
      <c r="AU2">
        <f>BDH("SCI US Equity","EQY_SH_OUT","1993-06-18","2026-05-02","Per=M","Days=T","Dir=V")</f>
        <v>0</v>
      </c>
      <c r="AW2">
        <f>BDH("SCI US Equity","PX_VOLUME","1993-06-18","2026-05-02","Per=M","Days=T","Dir=V")</f>
        <v>0</v>
      </c>
      <c r="AY2">
        <f>BDH("SCI US Equity","TURNOVER","1993-06-18","2026-05-02","Per=M","Days=T","Dir=V")</f>
        <v>0</v>
      </c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BDH("SCKT US Equity","BS_TOT_ASSET","1993-06-18","2026-05-02","Per=Y","Days=T","Dir=V")</f>
        <v>0</v>
      </c>
      <c r="C2">
        <f>BDH("SCKT US Equity","BS_TOT_LIAB2","1993-06-18","2026-05-02","Per=Y","Days=T","Dir=V")</f>
        <v>0</v>
      </c>
      <c r="E2">
        <f>BDH("SCKT US Equity","SHORT_AND_LONG_TERM_DEBT","1993-06-18","2026-05-02","Per=Y","Days=T","Dir=V")</f>
        <v>0</v>
      </c>
      <c r="G2">
        <f>BDH("SCKT US Equity","BS_ST_BORROW","1993-06-18","2026-05-02","Per=Y","Days=T","Dir=V")</f>
        <v>0</v>
      </c>
      <c r="I2">
        <f>BDH("SCKT US Equity","BS_LT_BORROW","1993-06-18","2026-05-02","Per=Y","Days=T","Dir=V")</f>
        <v>0</v>
      </c>
      <c r="K2">
        <f>BDH("SCKT US Equity","BS_CASH_NEAR_CASH_ITEM","1993-06-18","2026-05-02","Per=Y","Days=T","Dir=V")</f>
        <v>0</v>
      </c>
      <c r="M2">
        <f>BDH("SCKT US Equity","BS_CUR_ASSET_REPORT","1993-06-18","2026-05-02","Per=Y","Days=T","Dir=V")</f>
        <v>0</v>
      </c>
      <c r="O2">
        <f>BDH("SCKT US Equity","BS_CUR_LIAB","1993-06-18","2026-05-02","Per=Y","Days=T","Dir=V")</f>
        <v>0</v>
      </c>
      <c r="Q2">
        <f>BDH("SCKT US Equity","BS_SHAREHOLDER_EQY_ENDING_PERIOD","1993-06-18","2026-05-02","Per=Y","Days=T","Dir=V")</f>
        <v>0</v>
      </c>
      <c r="S2">
        <f>BDH("SCKT US Equity","BS_ACCT_NOTE_RCV","1993-06-18","2026-05-02","Per=Y","Days=T","Dir=V")</f>
        <v>0</v>
      </c>
      <c r="U2">
        <f>BDH("SCKT US Equity","BS_INVENTORIES","1993-06-18","2026-05-02","Per=Y","Days=T","Dir=V")</f>
        <v>0</v>
      </c>
      <c r="W2">
        <f>BDH("SCKT US Equity","WORKING_CAPITAL","1993-06-18","2026-05-02","Per=Y","Days=T","Dir=V")</f>
        <v>0</v>
      </c>
      <c r="Y2">
        <f>BDH("SCKT US Equity","SALES_REV_TURN","1993-06-18","2026-05-02","Per=Y","Days=T","Dir=V")</f>
        <v>0</v>
      </c>
      <c r="AA2">
        <f>BDH("SCKT US Equity","EBIT","1993-06-18","2026-05-02","Per=Y","Days=T","Dir=V")</f>
        <v>0</v>
      </c>
      <c r="AC2">
        <f>BDH("SCKT US Equity","EBITDA","1993-06-18","2026-05-02","Per=Y","Days=T","Dir=V")</f>
        <v>0</v>
      </c>
      <c r="AE2">
        <f>BDH("SCKT US Equity","NET_INCOME","1993-06-18","2026-05-02","Per=Y","Days=T","Dir=V")</f>
        <v>0</v>
      </c>
      <c r="AG2">
        <f>BDH("SCKT US Equity","IS_INT_EXPENSE","1993-06-18","2026-05-02","Per=Y","Days=T","Dir=V")</f>
        <v>0</v>
      </c>
      <c r="AI2">
        <f>BDH("SCKT US Equity","IS_DEPR_EXP","1993-06-18","2026-05-02","Per=Y","Days=T","Dir=V")</f>
        <v>0</v>
      </c>
      <c r="AK2">
        <f>BDH("SCKT US Equity","CF_CASH_FROM_OPER","1993-06-18","2026-05-02","Per=Y","Days=T","Dir=V")</f>
        <v>0</v>
      </c>
      <c r="AM2">
        <f>BDH("SCKT US Equity","CAPITAL_EXPEND","1993-06-18","2026-05-02","Per=Y","Days=T","Dir=V")</f>
        <v>0</v>
      </c>
      <c r="AO2">
        <f>BDH("SCKT US Equity","CF_FREE_CASH_FLOW","1993-06-18","2026-05-02","Per=Y","Days=T","Dir=V")</f>
        <v>0</v>
      </c>
      <c r="AQ2">
        <f>BDH("SCKT US Equity","PX_LAST","1993-06-18","2026-05-02","Per=M","Days=T","Dir=V")</f>
        <v>0</v>
      </c>
      <c r="AS2">
        <f>BDH("SCKT US Equity","CUR_MKT_CAP","1993-06-18","2026-05-02","Per=M","Days=T","Dir=V")</f>
        <v>0</v>
      </c>
      <c r="AU2">
        <f>BDH("SCKT US Equity","EQY_SH_OUT","1993-06-18","2026-05-02","Per=M","Days=T","Dir=V")</f>
        <v>0</v>
      </c>
      <c r="AW2">
        <f>BDH("SCKT US Equity","PX_VOLUME","1993-06-18","2026-05-02","Per=M","Days=T","Dir=V")</f>
        <v>0</v>
      </c>
      <c r="AY2">
        <f>BDH("SCKT US Equity","TURNOVER","1993-06-18","2026-05-02","Per=M","Days=T","Dir=V")</f>
        <v>0</v>
      </c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BDH("SCL US Equity","BS_TOT_ASSET","1993-06-18","2026-05-02","Per=Y","Days=T","Dir=V")</f>
        <v>0</v>
      </c>
      <c r="C2">
        <f>BDH("SCL US Equity","BS_TOT_LIAB2","1993-06-18","2026-05-02","Per=Y","Days=T","Dir=V")</f>
        <v>0</v>
      </c>
      <c r="E2">
        <f>BDH("SCL US Equity","SHORT_AND_LONG_TERM_DEBT","1993-06-18","2026-05-02","Per=Y","Days=T","Dir=V")</f>
        <v>0</v>
      </c>
      <c r="G2">
        <f>BDH("SCL US Equity","BS_ST_BORROW","1993-06-18","2026-05-02","Per=Y","Days=T","Dir=V")</f>
        <v>0</v>
      </c>
      <c r="I2">
        <f>BDH("SCL US Equity","BS_LT_BORROW","1993-06-18","2026-05-02","Per=Y","Days=T","Dir=V")</f>
        <v>0</v>
      </c>
      <c r="K2">
        <f>BDH("SCL US Equity","BS_CASH_NEAR_CASH_ITEM","1993-06-18","2026-05-02","Per=Y","Days=T","Dir=V")</f>
        <v>0</v>
      </c>
      <c r="M2">
        <f>BDH("SCL US Equity","BS_CUR_ASSET_REPORT","1993-06-18","2026-05-02","Per=Y","Days=T","Dir=V")</f>
        <v>0</v>
      </c>
      <c r="O2">
        <f>BDH("SCL US Equity","BS_CUR_LIAB","1993-06-18","2026-05-02","Per=Y","Days=T","Dir=V")</f>
        <v>0</v>
      </c>
      <c r="Q2">
        <f>BDH("SCL US Equity","BS_SHAREHOLDER_EQY_ENDING_PERIOD","1993-06-18","2026-05-02","Per=Y","Days=T","Dir=V")</f>
        <v>0</v>
      </c>
      <c r="S2">
        <f>BDH("SCL US Equity","BS_ACCT_NOTE_RCV","1993-06-18","2026-05-02","Per=Y","Days=T","Dir=V")</f>
        <v>0</v>
      </c>
      <c r="U2">
        <f>BDH("SCL US Equity","BS_INVENTORIES","1993-06-18","2026-05-02","Per=Y","Days=T","Dir=V")</f>
        <v>0</v>
      </c>
      <c r="W2">
        <f>BDH("SCL US Equity","WORKING_CAPITAL","1993-06-18","2026-05-02","Per=Y","Days=T","Dir=V")</f>
        <v>0</v>
      </c>
      <c r="Y2">
        <f>BDH("SCL US Equity","SALES_REV_TURN","1993-06-18","2026-05-02","Per=Y","Days=T","Dir=V")</f>
        <v>0</v>
      </c>
      <c r="AA2">
        <f>BDH("SCL US Equity","EBIT","1993-06-18","2026-05-02","Per=Y","Days=T","Dir=V")</f>
        <v>0</v>
      </c>
      <c r="AC2">
        <f>BDH("SCL US Equity","EBITDA","1993-06-18","2026-05-02","Per=Y","Days=T","Dir=V")</f>
        <v>0</v>
      </c>
      <c r="AE2">
        <f>BDH("SCL US Equity","NET_INCOME","1993-06-18","2026-05-02","Per=Y","Days=T","Dir=V")</f>
        <v>0</v>
      </c>
      <c r="AG2">
        <f>BDH("SCL US Equity","IS_INT_EXPENSE","1993-06-18","2026-05-02","Per=Y","Days=T","Dir=V")</f>
        <v>0</v>
      </c>
      <c r="AI2">
        <f>BDH("SCL US Equity","IS_DEPR_EXP","1993-06-18","2026-05-02","Per=Y","Days=T","Dir=V")</f>
        <v>0</v>
      </c>
      <c r="AK2">
        <f>BDH("SCL US Equity","CF_CASH_FROM_OPER","1993-06-18","2026-05-02","Per=Y","Days=T","Dir=V")</f>
        <v>0</v>
      </c>
      <c r="AM2">
        <f>BDH("SCL US Equity","CAPITAL_EXPEND","1993-06-18","2026-05-02","Per=Y","Days=T","Dir=V")</f>
        <v>0</v>
      </c>
      <c r="AO2">
        <f>BDH("SCL US Equity","CF_FREE_CASH_FLOW","1993-06-18","2026-05-02","Per=Y","Days=T","Dir=V")</f>
        <v>0</v>
      </c>
      <c r="AQ2">
        <f>BDH("SCL US Equity","PX_LAST","1993-06-18","2026-05-02","Per=M","Days=T","Dir=V")</f>
        <v>0</v>
      </c>
      <c r="AS2">
        <f>BDH("SCL US Equity","CUR_MKT_CAP","1993-06-18","2026-05-02","Per=M","Days=T","Dir=V")</f>
        <v>0</v>
      </c>
      <c r="AU2">
        <f>BDH("SCL US Equity","EQY_SH_OUT","1993-06-18","2026-05-02","Per=M","Days=T","Dir=V")</f>
        <v>0</v>
      </c>
      <c r="AW2">
        <f>BDH("SCL US Equity","PX_VOLUME","1993-06-18","2026-05-02","Per=M","Days=T","Dir=V")</f>
        <v>0</v>
      </c>
      <c r="AY2">
        <f>BDH("SCL US Equity","TURNOVER","1993-06-18","2026-05-02","Per=M","Days=T","Dir=V")</f>
        <v>0</v>
      </c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BDH("SCLX US Equity","BS_TOT_ASSET","1993-06-18","2026-05-02","Per=Y","Days=T","Dir=V")</f>
        <v>0</v>
      </c>
      <c r="C2">
        <f>BDH("SCLX US Equity","BS_TOT_LIAB2","1993-06-18","2026-05-02","Per=Y","Days=T","Dir=V")</f>
        <v>0</v>
      </c>
      <c r="E2">
        <f>BDH("SCLX US Equity","SHORT_AND_LONG_TERM_DEBT","1993-06-18","2026-05-02","Per=Y","Days=T","Dir=V")</f>
        <v>0</v>
      </c>
      <c r="G2">
        <f>BDH("SCLX US Equity","BS_ST_BORROW","1993-06-18","2026-05-02","Per=Y","Days=T","Dir=V")</f>
        <v>0</v>
      </c>
      <c r="I2">
        <f>BDH("SCLX US Equity","BS_LT_BORROW","1993-06-18","2026-05-02","Per=Y","Days=T","Dir=V")</f>
        <v>0</v>
      </c>
      <c r="K2">
        <f>BDH("SCLX US Equity","BS_CASH_NEAR_CASH_ITEM","1993-06-18","2026-05-02","Per=Y","Days=T","Dir=V")</f>
        <v>0</v>
      </c>
      <c r="M2">
        <f>BDH("SCLX US Equity","BS_CUR_ASSET_REPORT","1993-06-18","2026-05-02","Per=Y","Days=T","Dir=V")</f>
        <v>0</v>
      </c>
      <c r="O2">
        <f>BDH("SCLX US Equity","BS_CUR_LIAB","1993-06-18","2026-05-02","Per=Y","Days=T","Dir=V")</f>
        <v>0</v>
      </c>
      <c r="Q2">
        <f>BDH("SCLX US Equity","BS_SHAREHOLDER_EQY_ENDING_PERIOD","1993-06-18","2026-05-02","Per=Y","Days=T","Dir=V")</f>
        <v>0</v>
      </c>
      <c r="S2">
        <f>BDH("SCLX US Equity","BS_ACCT_NOTE_RCV","1993-06-18","2026-05-02","Per=Y","Days=T","Dir=V")</f>
        <v>0</v>
      </c>
      <c r="U2">
        <f>BDH("SCLX US Equity","BS_INVENTORIES","1993-06-18","2026-05-02","Per=Y","Days=T","Dir=V")</f>
        <v>0</v>
      </c>
      <c r="W2">
        <f>BDH("SCLX US Equity","WORKING_CAPITAL","1993-06-18","2026-05-02","Per=Y","Days=T","Dir=V")</f>
        <v>0</v>
      </c>
      <c r="Y2">
        <f>BDH("SCLX US Equity","SALES_REV_TURN","1993-06-18","2026-05-02","Per=Y","Days=T","Dir=V")</f>
        <v>0</v>
      </c>
      <c r="AA2">
        <f>BDH("SCLX US Equity","EBIT","1993-06-18","2026-05-02","Per=Y","Days=T","Dir=V")</f>
        <v>0</v>
      </c>
      <c r="AC2">
        <f>BDH("SCLX US Equity","EBITDA","1993-06-18","2026-05-02","Per=Y","Days=T","Dir=V")</f>
        <v>0</v>
      </c>
      <c r="AE2">
        <f>BDH("SCLX US Equity","NET_INCOME","1993-06-18","2026-05-02","Per=Y","Days=T","Dir=V")</f>
        <v>0</v>
      </c>
      <c r="AG2">
        <f>BDH("SCLX US Equity","IS_INT_EXPENSE","1993-06-18","2026-05-02","Per=Y","Days=T","Dir=V")</f>
        <v>0</v>
      </c>
      <c r="AI2">
        <f>BDH("SCLX US Equity","IS_DEPR_EXP","1993-06-18","2026-05-02","Per=Y","Days=T","Dir=V")</f>
        <v>0</v>
      </c>
      <c r="AK2">
        <f>BDH("SCLX US Equity","CF_CASH_FROM_OPER","1993-06-18","2026-05-02","Per=Y","Days=T","Dir=V")</f>
        <v>0</v>
      </c>
      <c r="AM2">
        <f>BDH("SCLX US Equity","CAPITAL_EXPEND","1993-06-18","2026-05-02","Per=Y","Days=T","Dir=V")</f>
        <v>0</v>
      </c>
      <c r="AO2">
        <f>BDH("SCLX US Equity","CF_FREE_CASH_FLOW","1993-06-18","2026-05-02","Per=Y","Days=T","Dir=V")</f>
        <v>0</v>
      </c>
      <c r="AQ2">
        <f>BDH("SCLX US Equity","PX_LAST","1993-06-18","2026-05-02","Per=M","Days=T","Dir=V")</f>
        <v>0</v>
      </c>
      <c r="AS2">
        <f>BDH("SCLX US Equity","CUR_MKT_CAP","1993-06-18","2026-05-02","Per=M","Days=T","Dir=V")</f>
        <v>0</v>
      </c>
      <c r="AU2">
        <f>BDH("SCLX US Equity","EQY_SH_OUT","1993-06-18","2026-05-02","Per=M","Days=T","Dir=V")</f>
        <v>0</v>
      </c>
      <c r="AW2">
        <f>BDH("SCLX US Equity","PX_VOLUME","1993-06-18","2026-05-02","Per=M","Days=T","Dir=V")</f>
        <v>0</v>
      </c>
      <c r="AY2">
        <f>BDH("SCLX US Equity","TURNOVER","1993-06-18","2026-05-02","Per=M","Days=T","Dir=V")</f>
        <v>0</v>
      </c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BDH("SCLXW US Equity","BS_TOT_ASSET","1993-06-18","2026-05-02","Per=Y","Days=T","Dir=V")</f>
        <v>0</v>
      </c>
      <c r="C2">
        <f>BDH("SCLXW US Equity","BS_TOT_LIAB2","1993-06-18","2026-05-02","Per=Y","Days=T","Dir=V")</f>
        <v>0</v>
      </c>
      <c r="E2">
        <f>BDH("SCLXW US Equity","SHORT_AND_LONG_TERM_DEBT","1993-06-18","2026-05-02","Per=Y","Days=T","Dir=V")</f>
        <v>0</v>
      </c>
      <c r="G2">
        <f>BDH("SCLXW US Equity","BS_ST_BORROW","1993-06-18","2026-05-02","Per=Y","Days=T","Dir=V")</f>
        <v>0</v>
      </c>
      <c r="I2">
        <f>BDH("SCLXW US Equity","BS_LT_BORROW","1993-06-18","2026-05-02","Per=Y","Days=T","Dir=V")</f>
        <v>0</v>
      </c>
      <c r="K2">
        <f>BDH("SCLXW US Equity","BS_CASH_NEAR_CASH_ITEM","1993-06-18","2026-05-02","Per=Y","Days=T","Dir=V")</f>
        <v>0</v>
      </c>
      <c r="M2">
        <f>BDH("SCLXW US Equity","BS_CUR_ASSET_REPORT","1993-06-18","2026-05-02","Per=Y","Days=T","Dir=V")</f>
        <v>0</v>
      </c>
      <c r="O2">
        <f>BDH("SCLXW US Equity","BS_CUR_LIAB","1993-06-18","2026-05-02","Per=Y","Days=T","Dir=V")</f>
        <v>0</v>
      </c>
      <c r="Q2">
        <f>BDH("SCLXW US Equity","BS_SHAREHOLDER_EQY_ENDING_PERIOD","1993-06-18","2026-05-02","Per=Y","Days=T","Dir=V")</f>
        <v>0</v>
      </c>
      <c r="S2">
        <f>BDH("SCLXW US Equity","BS_ACCT_NOTE_RCV","1993-06-18","2026-05-02","Per=Y","Days=T","Dir=V")</f>
        <v>0</v>
      </c>
      <c r="U2">
        <f>BDH("SCLXW US Equity","BS_INVENTORIES","1993-06-18","2026-05-02","Per=Y","Days=T","Dir=V")</f>
        <v>0</v>
      </c>
      <c r="W2">
        <f>BDH("SCLXW US Equity","WORKING_CAPITAL","1993-06-18","2026-05-02","Per=Y","Days=T","Dir=V")</f>
        <v>0</v>
      </c>
      <c r="Y2">
        <f>BDH("SCLXW US Equity","SALES_REV_TURN","1993-06-18","2026-05-02","Per=Y","Days=T","Dir=V")</f>
        <v>0</v>
      </c>
      <c r="AA2">
        <f>BDH("SCLXW US Equity","EBIT","1993-06-18","2026-05-02","Per=Y","Days=T","Dir=V")</f>
        <v>0</v>
      </c>
      <c r="AC2">
        <f>BDH("SCLXW US Equity","EBITDA","1993-06-18","2026-05-02","Per=Y","Days=T","Dir=V")</f>
        <v>0</v>
      </c>
      <c r="AE2">
        <f>BDH("SCLXW US Equity","NET_INCOME","1993-06-18","2026-05-02","Per=Y","Days=T","Dir=V")</f>
        <v>0</v>
      </c>
      <c r="AG2">
        <f>BDH("SCLXW US Equity","IS_INT_EXPENSE","1993-06-18","2026-05-02","Per=Y","Days=T","Dir=V")</f>
        <v>0</v>
      </c>
      <c r="AI2">
        <f>BDH("SCLXW US Equity","IS_DEPR_EXP","1993-06-18","2026-05-02","Per=Y","Days=T","Dir=V")</f>
        <v>0</v>
      </c>
      <c r="AK2">
        <f>BDH("SCLXW US Equity","CF_CASH_FROM_OPER","1993-06-18","2026-05-02","Per=Y","Days=T","Dir=V")</f>
        <v>0</v>
      </c>
      <c r="AM2">
        <f>BDH("SCLXW US Equity","CAPITAL_EXPEND","1993-06-18","2026-05-02","Per=Y","Days=T","Dir=V")</f>
        <v>0</v>
      </c>
      <c r="AO2">
        <f>BDH("SCLXW US Equity","CF_FREE_CASH_FLOW","1993-06-18","2026-05-02","Per=Y","Days=T","Dir=V")</f>
        <v>0</v>
      </c>
      <c r="AQ2">
        <f>BDH("SCLXW US Equity","PX_LAST","1993-06-18","2026-05-02","Per=M","Days=T","Dir=V")</f>
        <v>0</v>
      </c>
      <c r="AS2">
        <f>BDH("SCLXW US Equity","CUR_MKT_CAP","1993-06-18","2026-05-02","Per=M","Days=T","Dir=V")</f>
        <v>0</v>
      </c>
      <c r="AU2">
        <f>BDH("SCLXW US Equity","EQY_SH_OUT","1993-06-18","2026-05-02","Per=M","Days=T","Dir=V")</f>
        <v>0</v>
      </c>
      <c r="AW2">
        <f>BDH("SCLXW US Equity","PX_VOLUME","1993-06-18","2026-05-02","Per=M","Days=T","Dir=V")</f>
        <v>0</v>
      </c>
      <c r="AY2">
        <f>BDH("SCLXW US Equity","TURNOVER","1993-06-18","2026-05-02","Per=M","Days=T","Dir=V")</f>
        <v>0</v>
      </c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BDH("SCNX US Equity","BS_TOT_ASSET","1993-06-18","2026-05-02","Per=Y","Days=T","Dir=V")</f>
        <v>0</v>
      </c>
      <c r="C2">
        <f>BDH("SCNX US Equity","BS_TOT_LIAB2","1993-06-18","2026-05-02","Per=Y","Days=T","Dir=V")</f>
        <v>0</v>
      </c>
      <c r="E2">
        <f>BDH("SCNX US Equity","SHORT_AND_LONG_TERM_DEBT","1993-06-18","2026-05-02","Per=Y","Days=T","Dir=V")</f>
        <v>0</v>
      </c>
      <c r="G2">
        <f>BDH("SCNX US Equity","BS_ST_BORROW","1993-06-18","2026-05-02","Per=Y","Days=T","Dir=V")</f>
        <v>0</v>
      </c>
      <c r="I2">
        <f>BDH("SCNX US Equity","BS_LT_BORROW","1993-06-18","2026-05-02","Per=Y","Days=T","Dir=V")</f>
        <v>0</v>
      </c>
      <c r="K2">
        <f>BDH("SCNX US Equity","BS_CASH_NEAR_CASH_ITEM","1993-06-18","2026-05-02","Per=Y","Days=T","Dir=V")</f>
        <v>0</v>
      </c>
      <c r="M2">
        <f>BDH("SCNX US Equity","BS_CUR_ASSET_REPORT","1993-06-18","2026-05-02","Per=Y","Days=T","Dir=V")</f>
        <v>0</v>
      </c>
      <c r="O2">
        <f>BDH("SCNX US Equity","BS_CUR_LIAB","1993-06-18","2026-05-02","Per=Y","Days=T","Dir=V")</f>
        <v>0</v>
      </c>
      <c r="Q2">
        <f>BDH("SCNX US Equity","BS_SHAREHOLDER_EQY_ENDING_PERIOD","1993-06-18","2026-05-02","Per=Y","Days=T","Dir=V")</f>
        <v>0</v>
      </c>
      <c r="S2">
        <f>BDH("SCNX US Equity","BS_ACCT_NOTE_RCV","1993-06-18","2026-05-02","Per=Y","Days=T","Dir=V")</f>
        <v>0</v>
      </c>
      <c r="U2">
        <f>BDH("SCNX US Equity","BS_INVENTORIES","1993-06-18","2026-05-02","Per=Y","Days=T","Dir=V")</f>
        <v>0</v>
      </c>
      <c r="W2">
        <f>BDH("SCNX US Equity","WORKING_CAPITAL","1993-06-18","2026-05-02","Per=Y","Days=T","Dir=V")</f>
        <v>0</v>
      </c>
      <c r="Y2">
        <f>BDH("SCNX US Equity","SALES_REV_TURN","1993-06-18","2026-05-02","Per=Y","Days=T","Dir=V")</f>
        <v>0</v>
      </c>
      <c r="AA2">
        <f>BDH("SCNX US Equity","EBIT","1993-06-18","2026-05-02","Per=Y","Days=T","Dir=V")</f>
        <v>0</v>
      </c>
      <c r="AC2">
        <f>BDH("SCNX US Equity","EBITDA","1993-06-18","2026-05-02","Per=Y","Days=T","Dir=V")</f>
        <v>0</v>
      </c>
      <c r="AE2">
        <f>BDH("SCNX US Equity","NET_INCOME","1993-06-18","2026-05-02","Per=Y","Days=T","Dir=V")</f>
        <v>0</v>
      </c>
      <c r="AG2">
        <f>BDH("SCNX US Equity","IS_INT_EXPENSE","1993-06-18","2026-05-02","Per=Y","Days=T","Dir=V")</f>
        <v>0</v>
      </c>
      <c r="AI2">
        <f>BDH("SCNX US Equity","IS_DEPR_EXP","1993-06-18","2026-05-02","Per=Y","Days=T","Dir=V")</f>
        <v>0</v>
      </c>
      <c r="AK2">
        <f>BDH("SCNX US Equity","CF_CASH_FROM_OPER","1993-06-18","2026-05-02","Per=Y","Days=T","Dir=V")</f>
        <v>0</v>
      </c>
      <c r="AM2">
        <f>BDH("SCNX US Equity","CAPITAL_EXPEND","1993-06-18","2026-05-02","Per=Y","Days=T","Dir=V")</f>
        <v>0</v>
      </c>
      <c r="AO2">
        <f>BDH("SCNX US Equity","CF_FREE_CASH_FLOW","1993-06-18","2026-05-02","Per=Y","Days=T","Dir=V")</f>
        <v>0</v>
      </c>
      <c r="AQ2">
        <f>BDH("SCNX US Equity","PX_LAST","1993-06-18","2026-05-02","Per=M","Days=T","Dir=V")</f>
        <v>0</v>
      </c>
      <c r="AS2">
        <f>BDH("SCNX US Equity","CUR_MKT_CAP","1993-06-18","2026-05-02","Per=M","Days=T","Dir=V")</f>
        <v>0</v>
      </c>
      <c r="AU2">
        <f>BDH("SCNX US Equity","EQY_SH_OUT","1993-06-18","2026-05-02","Per=M","Days=T","Dir=V")</f>
        <v>0</v>
      </c>
      <c r="AW2">
        <f>BDH("SCNX US Equity","PX_VOLUME","1993-06-18","2026-05-02","Per=M","Days=T","Dir=V")</f>
        <v>0</v>
      </c>
      <c r="AY2">
        <f>BDH("SCNX US Equity","TURNOVER","1993-06-18","2026-05-02","Per=M","Days=T","Dir=V")</f>
        <v>0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BDH("SCOR US Equity","BS_TOT_ASSET","1993-06-18","2026-05-02","Per=Y","Days=T","Dir=V")</f>
        <v>0</v>
      </c>
      <c r="C2">
        <f>BDH("SCOR US Equity","BS_TOT_LIAB2","1993-06-18","2026-05-02","Per=Y","Days=T","Dir=V")</f>
        <v>0</v>
      </c>
      <c r="E2">
        <f>BDH("SCOR US Equity","SHORT_AND_LONG_TERM_DEBT","1993-06-18","2026-05-02","Per=Y","Days=T","Dir=V")</f>
        <v>0</v>
      </c>
      <c r="G2">
        <f>BDH("SCOR US Equity","BS_ST_BORROW","1993-06-18","2026-05-02","Per=Y","Days=T","Dir=V")</f>
        <v>0</v>
      </c>
      <c r="I2">
        <f>BDH("SCOR US Equity","BS_LT_BORROW","1993-06-18","2026-05-02","Per=Y","Days=T","Dir=V")</f>
        <v>0</v>
      </c>
      <c r="K2">
        <f>BDH("SCOR US Equity","BS_CASH_NEAR_CASH_ITEM","1993-06-18","2026-05-02","Per=Y","Days=T","Dir=V")</f>
        <v>0</v>
      </c>
      <c r="M2">
        <f>BDH("SCOR US Equity","BS_CUR_ASSET_REPORT","1993-06-18","2026-05-02","Per=Y","Days=T","Dir=V")</f>
        <v>0</v>
      </c>
      <c r="O2">
        <f>BDH("SCOR US Equity","BS_CUR_LIAB","1993-06-18","2026-05-02","Per=Y","Days=T","Dir=V")</f>
        <v>0</v>
      </c>
      <c r="Q2">
        <f>BDH("SCOR US Equity","BS_SHAREHOLDER_EQY_ENDING_PERIOD","1993-06-18","2026-05-02","Per=Y","Days=T","Dir=V")</f>
        <v>0</v>
      </c>
      <c r="S2">
        <f>BDH("SCOR US Equity","BS_ACCT_NOTE_RCV","1993-06-18","2026-05-02","Per=Y","Days=T","Dir=V")</f>
        <v>0</v>
      </c>
      <c r="U2">
        <f>BDH("SCOR US Equity","BS_INVENTORIES","1993-06-18","2026-05-02","Per=Y","Days=T","Dir=V")</f>
        <v>0</v>
      </c>
      <c r="W2">
        <f>BDH("SCOR US Equity","WORKING_CAPITAL","1993-06-18","2026-05-02","Per=Y","Days=T","Dir=V")</f>
        <v>0</v>
      </c>
      <c r="Y2">
        <f>BDH("SCOR US Equity","SALES_REV_TURN","1993-06-18","2026-05-02","Per=Y","Days=T","Dir=V")</f>
        <v>0</v>
      </c>
      <c r="AA2">
        <f>BDH("SCOR US Equity","EBIT","1993-06-18","2026-05-02","Per=Y","Days=T","Dir=V")</f>
        <v>0</v>
      </c>
      <c r="AC2">
        <f>BDH("SCOR US Equity","EBITDA","1993-06-18","2026-05-02","Per=Y","Days=T","Dir=V")</f>
        <v>0</v>
      </c>
      <c r="AE2">
        <f>BDH("SCOR US Equity","NET_INCOME","1993-06-18","2026-05-02","Per=Y","Days=T","Dir=V")</f>
        <v>0</v>
      </c>
      <c r="AG2">
        <f>BDH("SCOR US Equity","IS_INT_EXPENSE","1993-06-18","2026-05-02","Per=Y","Days=T","Dir=V")</f>
        <v>0</v>
      </c>
      <c r="AI2">
        <f>BDH("SCOR US Equity","IS_DEPR_EXP","1993-06-18","2026-05-02","Per=Y","Days=T","Dir=V")</f>
        <v>0</v>
      </c>
      <c r="AK2">
        <f>BDH("SCOR US Equity","CF_CASH_FROM_OPER","1993-06-18","2026-05-02","Per=Y","Days=T","Dir=V")</f>
        <v>0</v>
      </c>
      <c r="AM2">
        <f>BDH("SCOR US Equity","CAPITAL_EXPEND","1993-06-18","2026-05-02","Per=Y","Days=T","Dir=V")</f>
        <v>0</v>
      </c>
      <c r="AO2">
        <f>BDH("SCOR US Equity","CF_FREE_CASH_FLOW","1993-06-18","2026-05-02","Per=Y","Days=T","Dir=V")</f>
        <v>0</v>
      </c>
      <c r="AQ2">
        <f>BDH("SCOR US Equity","PX_LAST","1993-06-18","2026-05-02","Per=M","Days=T","Dir=V")</f>
        <v>0</v>
      </c>
      <c r="AS2">
        <f>BDH("SCOR US Equity","CUR_MKT_CAP","1993-06-18","2026-05-02","Per=M","Days=T","Dir=V")</f>
        <v>0</v>
      </c>
      <c r="AU2">
        <f>BDH("SCOR US Equity","EQY_SH_OUT","1993-06-18","2026-05-02","Per=M","Days=T","Dir=V")</f>
        <v>0</v>
      </c>
      <c r="AW2">
        <f>BDH("SCOR US Equity","PX_VOLUME","1993-06-18","2026-05-02","Per=M","Days=T","Dir=V")</f>
        <v>0</v>
      </c>
      <c r="AY2">
        <f>BDH("SCOR US Equity","TURNOVER","1993-06-18","2026-05-02","Per=M","Days=T","Dir=V")</f>
        <v>0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BDH("SCSC US Equity","BS_TOT_ASSET","1993-06-18","2026-05-02","Per=Y","Days=T","Dir=V")</f>
        <v>0</v>
      </c>
      <c r="C2">
        <f>BDH("SCSC US Equity","BS_TOT_LIAB2","1993-06-18","2026-05-02","Per=Y","Days=T","Dir=V")</f>
        <v>0</v>
      </c>
      <c r="E2">
        <f>BDH("SCSC US Equity","SHORT_AND_LONG_TERM_DEBT","1993-06-18","2026-05-02","Per=Y","Days=T","Dir=V")</f>
        <v>0</v>
      </c>
      <c r="G2">
        <f>BDH("SCSC US Equity","BS_ST_BORROW","1993-06-18","2026-05-02","Per=Y","Days=T","Dir=V")</f>
        <v>0</v>
      </c>
      <c r="I2">
        <f>BDH("SCSC US Equity","BS_LT_BORROW","1993-06-18","2026-05-02","Per=Y","Days=T","Dir=V")</f>
        <v>0</v>
      </c>
      <c r="K2">
        <f>BDH("SCSC US Equity","BS_CASH_NEAR_CASH_ITEM","1993-06-18","2026-05-02","Per=Y","Days=T","Dir=V")</f>
        <v>0</v>
      </c>
      <c r="M2">
        <f>BDH("SCSC US Equity","BS_CUR_ASSET_REPORT","1993-06-18","2026-05-02","Per=Y","Days=T","Dir=V")</f>
        <v>0</v>
      </c>
      <c r="O2">
        <f>BDH("SCSC US Equity","BS_CUR_LIAB","1993-06-18","2026-05-02","Per=Y","Days=T","Dir=V")</f>
        <v>0</v>
      </c>
      <c r="Q2">
        <f>BDH("SCSC US Equity","BS_SHAREHOLDER_EQY_ENDING_PERIOD","1993-06-18","2026-05-02","Per=Y","Days=T","Dir=V")</f>
        <v>0</v>
      </c>
      <c r="S2">
        <f>BDH("SCSC US Equity","BS_ACCT_NOTE_RCV","1993-06-18","2026-05-02","Per=Y","Days=T","Dir=V")</f>
        <v>0</v>
      </c>
      <c r="U2">
        <f>BDH("SCSC US Equity","BS_INVENTORIES","1993-06-18","2026-05-02","Per=Y","Days=T","Dir=V")</f>
        <v>0</v>
      </c>
      <c r="W2">
        <f>BDH("SCSC US Equity","WORKING_CAPITAL","1993-06-18","2026-05-02","Per=Y","Days=T","Dir=V")</f>
        <v>0</v>
      </c>
      <c r="Y2">
        <f>BDH("SCSC US Equity","SALES_REV_TURN","1993-06-18","2026-05-02","Per=Y","Days=T","Dir=V")</f>
        <v>0</v>
      </c>
      <c r="AA2">
        <f>BDH("SCSC US Equity","EBIT","1993-06-18","2026-05-02","Per=Y","Days=T","Dir=V")</f>
        <v>0</v>
      </c>
      <c r="AC2">
        <f>BDH("SCSC US Equity","EBITDA","1993-06-18","2026-05-02","Per=Y","Days=T","Dir=V")</f>
        <v>0</v>
      </c>
      <c r="AE2">
        <f>BDH("SCSC US Equity","NET_INCOME","1993-06-18","2026-05-02","Per=Y","Days=T","Dir=V")</f>
        <v>0</v>
      </c>
      <c r="AG2">
        <f>BDH("SCSC US Equity","IS_INT_EXPENSE","1993-06-18","2026-05-02","Per=Y","Days=T","Dir=V")</f>
        <v>0</v>
      </c>
      <c r="AI2">
        <f>BDH("SCSC US Equity","IS_DEPR_EXP","1993-06-18","2026-05-02","Per=Y","Days=T","Dir=V")</f>
        <v>0</v>
      </c>
      <c r="AK2">
        <f>BDH("SCSC US Equity","CF_CASH_FROM_OPER","1993-06-18","2026-05-02","Per=Y","Days=T","Dir=V")</f>
        <v>0</v>
      </c>
      <c r="AM2">
        <f>BDH("SCSC US Equity","CAPITAL_EXPEND","1993-06-18","2026-05-02","Per=Y","Days=T","Dir=V")</f>
        <v>0</v>
      </c>
      <c r="AO2">
        <f>BDH("SCSC US Equity","CF_FREE_CASH_FLOW","1993-06-18","2026-05-02","Per=Y","Days=T","Dir=V")</f>
        <v>0</v>
      </c>
      <c r="AQ2">
        <f>BDH("SCSC US Equity","PX_LAST","1993-06-18","2026-05-02","Per=M","Days=T","Dir=V")</f>
        <v>0</v>
      </c>
      <c r="AS2">
        <f>BDH("SCSC US Equity","CUR_MKT_CAP","1993-06-18","2026-05-02","Per=M","Days=T","Dir=V")</f>
        <v>0</v>
      </c>
      <c r="AU2">
        <f>BDH("SCSC US Equity","EQY_SH_OUT","1993-06-18","2026-05-02","Per=M","Days=T","Dir=V")</f>
        <v>0</v>
      </c>
      <c r="AW2">
        <f>BDH("SCSC US Equity","PX_VOLUME","1993-06-18","2026-05-02","Per=M","Days=T","Dir=V")</f>
        <v>0</v>
      </c>
      <c r="AY2">
        <f>BDH("SCSC US Equity","TURNOVER","1993-06-18","2026-05-02","Per=M","Days=T","Dir=V")</f>
        <v>0</v>
      </c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BDH("SCTX US Equity","BS_TOT_ASSET","1993-06-18","2026-05-02","Per=Y","Days=T","Dir=V")</f>
        <v>0</v>
      </c>
      <c r="C2">
        <f>BDH("SCTX US Equity","BS_TOT_LIAB2","1993-06-18","2026-05-02","Per=Y","Days=T","Dir=V")</f>
        <v>0</v>
      </c>
      <c r="E2">
        <f>BDH("SCTX US Equity","SHORT_AND_LONG_TERM_DEBT","1993-06-18","2026-05-02","Per=Y","Days=T","Dir=V")</f>
        <v>0</v>
      </c>
      <c r="G2">
        <f>BDH("SCTX US Equity","BS_ST_BORROW","1993-06-18","2026-05-02","Per=Y","Days=T","Dir=V")</f>
        <v>0</v>
      </c>
      <c r="I2">
        <f>BDH("SCTX US Equity","BS_LT_BORROW","1993-06-18","2026-05-02","Per=Y","Days=T","Dir=V")</f>
        <v>0</v>
      </c>
      <c r="K2">
        <f>BDH("SCTX US Equity","BS_CASH_NEAR_CASH_ITEM","1993-06-18","2026-05-02","Per=Y","Days=T","Dir=V")</f>
        <v>0</v>
      </c>
      <c r="M2">
        <f>BDH("SCTX US Equity","BS_CUR_ASSET_REPORT","1993-06-18","2026-05-02","Per=Y","Days=T","Dir=V")</f>
        <v>0</v>
      </c>
      <c r="O2">
        <f>BDH("SCTX US Equity","BS_CUR_LIAB","1993-06-18","2026-05-02","Per=Y","Days=T","Dir=V")</f>
        <v>0</v>
      </c>
      <c r="Q2">
        <f>BDH("SCTX US Equity","BS_SHAREHOLDER_EQY_ENDING_PERIOD","1993-06-18","2026-05-02","Per=Y","Days=T","Dir=V")</f>
        <v>0</v>
      </c>
      <c r="S2">
        <f>BDH("SCTX US Equity","BS_ACCT_NOTE_RCV","1993-06-18","2026-05-02","Per=Y","Days=T","Dir=V")</f>
        <v>0</v>
      </c>
      <c r="U2">
        <f>BDH("SCTX US Equity","BS_INVENTORIES","1993-06-18","2026-05-02","Per=Y","Days=T","Dir=V")</f>
        <v>0</v>
      </c>
      <c r="W2">
        <f>BDH("SCTX US Equity","WORKING_CAPITAL","1993-06-18","2026-05-02","Per=Y","Days=T","Dir=V")</f>
        <v>0</v>
      </c>
      <c r="Y2">
        <f>BDH("SCTX US Equity","SALES_REV_TURN","1993-06-18","2026-05-02","Per=Y","Days=T","Dir=V")</f>
        <v>0</v>
      </c>
      <c r="AA2">
        <f>BDH("SCTX US Equity","EBIT","1993-06-18","2026-05-02","Per=Y","Days=T","Dir=V")</f>
        <v>0</v>
      </c>
      <c r="AC2">
        <f>BDH("SCTX US Equity","EBITDA","1993-06-18","2026-05-02","Per=Y","Days=T","Dir=V")</f>
        <v>0</v>
      </c>
      <c r="AE2">
        <f>BDH("SCTX US Equity","NET_INCOME","1993-06-18","2026-05-02","Per=Y","Days=T","Dir=V")</f>
        <v>0</v>
      </c>
      <c r="AG2">
        <f>BDH("SCTX US Equity","IS_INT_EXPENSE","1993-06-18","2026-05-02","Per=Y","Days=T","Dir=V")</f>
        <v>0</v>
      </c>
      <c r="AI2">
        <f>BDH("SCTX US Equity","IS_DEPR_EXP","1993-06-18","2026-05-02","Per=Y","Days=T","Dir=V")</f>
        <v>0</v>
      </c>
      <c r="AK2">
        <f>BDH("SCTX US Equity","CF_CASH_FROM_OPER","1993-06-18","2026-05-02","Per=Y","Days=T","Dir=V")</f>
        <v>0</v>
      </c>
      <c r="AM2">
        <f>BDH("SCTX US Equity","CAPITAL_EXPEND","1993-06-18","2026-05-02","Per=Y","Days=T","Dir=V")</f>
        <v>0</v>
      </c>
      <c r="AO2">
        <f>BDH("SCTX US Equity","CF_FREE_CASH_FLOW","1993-06-18","2026-05-02","Per=Y","Days=T","Dir=V")</f>
        <v>0</v>
      </c>
      <c r="AQ2">
        <f>BDH("SCTX US Equity","PX_LAST","1993-06-18","2026-05-02","Per=M","Days=T","Dir=V")</f>
        <v>0</v>
      </c>
      <c r="AS2">
        <f>BDH("SCTX US Equity","CUR_MKT_CAP","1993-06-18","2026-05-02","Per=M","Days=T","Dir=V")</f>
        <v>0</v>
      </c>
      <c r="AU2">
        <f>BDH("SCTX US Equity","EQY_SH_OUT","1993-06-18","2026-05-02","Per=M","Days=T","Dir=V")</f>
        <v>0</v>
      </c>
      <c r="AW2">
        <f>BDH("SCTX US Equity","PX_VOLUME","1993-06-18","2026-05-02","Per=M","Days=T","Dir=V")</f>
        <v>0</v>
      </c>
      <c r="AY2">
        <f>BDH("SCTX US Equity","TURNOVER","1993-06-18","2026-05-02","Per=M","Days=T","Dir=V")</f>
        <v>0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BDH("SCWO US Equity","BS_TOT_ASSET","1993-06-18","2026-05-02","Per=Y","Days=T","Dir=V")</f>
        <v>0</v>
      </c>
      <c r="C2">
        <f>BDH("SCWO US Equity","BS_TOT_LIAB2","1993-06-18","2026-05-02","Per=Y","Days=T","Dir=V")</f>
        <v>0</v>
      </c>
      <c r="E2">
        <f>BDH("SCWO US Equity","SHORT_AND_LONG_TERM_DEBT","1993-06-18","2026-05-02","Per=Y","Days=T","Dir=V")</f>
        <v>0</v>
      </c>
      <c r="G2">
        <f>BDH("SCWO US Equity","BS_ST_BORROW","1993-06-18","2026-05-02","Per=Y","Days=T","Dir=V")</f>
        <v>0</v>
      </c>
      <c r="I2">
        <f>BDH("SCWO US Equity","BS_LT_BORROW","1993-06-18","2026-05-02","Per=Y","Days=T","Dir=V")</f>
        <v>0</v>
      </c>
      <c r="K2">
        <f>BDH("SCWO US Equity","BS_CASH_NEAR_CASH_ITEM","1993-06-18","2026-05-02","Per=Y","Days=T","Dir=V")</f>
        <v>0</v>
      </c>
      <c r="M2">
        <f>BDH("SCWO US Equity","BS_CUR_ASSET_REPORT","1993-06-18","2026-05-02","Per=Y","Days=T","Dir=V")</f>
        <v>0</v>
      </c>
      <c r="O2">
        <f>BDH("SCWO US Equity","BS_CUR_LIAB","1993-06-18","2026-05-02","Per=Y","Days=T","Dir=V")</f>
        <v>0</v>
      </c>
      <c r="Q2">
        <f>BDH("SCWO US Equity","BS_SHAREHOLDER_EQY_ENDING_PERIOD","1993-06-18","2026-05-02","Per=Y","Days=T","Dir=V")</f>
        <v>0</v>
      </c>
      <c r="S2">
        <f>BDH("SCWO US Equity","BS_ACCT_NOTE_RCV","1993-06-18","2026-05-02","Per=Y","Days=T","Dir=V")</f>
        <v>0</v>
      </c>
      <c r="U2">
        <f>BDH("SCWO US Equity","BS_INVENTORIES","1993-06-18","2026-05-02","Per=Y","Days=T","Dir=V")</f>
        <v>0</v>
      </c>
      <c r="W2">
        <f>BDH("SCWO US Equity","WORKING_CAPITAL","1993-06-18","2026-05-02","Per=Y","Days=T","Dir=V")</f>
        <v>0</v>
      </c>
      <c r="Y2">
        <f>BDH("SCWO US Equity","SALES_REV_TURN","1993-06-18","2026-05-02","Per=Y","Days=T","Dir=V")</f>
        <v>0</v>
      </c>
      <c r="AA2">
        <f>BDH("SCWO US Equity","EBIT","1993-06-18","2026-05-02","Per=Y","Days=T","Dir=V")</f>
        <v>0</v>
      </c>
      <c r="AC2">
        <f>BDH("SCWO US Equity","EBITDA","1993-06-18","2026-05-02","Per=Y","Days=T","Dir=V")</f>
        <v>0</v>
      </c>
      <c r="AE2">
        <f>BDH("SCWO US Equity","NET_INCOME","1993-06-18","2026-05-02","Per=Y","Days=T","Dir=V")</f>
        <v>0</v>
      </c>
      <c r="AG2">
        <f>BDH("SCWO US Equity","IS_INT_EXPENSE","1993-06-18","2026-05-02","Per=Y","Days=T","Dir=V")</f>
        <v>0</v>
      </c>
      <c r="AI2">
        <f>BDH("SCWO US Equity","IS_DEPR_EXP","1993-06-18","2026-05-02","Per=Y","Days=T","Dir=V")</f>
        <v>0</v>
      </c>
      <c r="AK2">
        <f>BDH("SCWO US Equity","CF_CASH_FROM_OPER","1993-06-18","2026-05-02","Per=Y","Days=T","Dir=V")</f>
        <v>0</v>
      </c>
      <c r="AM2">
        <f>BDH("SCWO US Equity","CAPITAL_EXPEND","1993-06-18","2026-05-02","Per=Y","Days=T","Dir=V")</f>
        <v>0</v>
      </c>
      <c r="AO2">
        <f>BDH("SCWO US Equity","CF_FREE_CASH_FLOW","1993-06-18","2026-05-02","Per=Y","Days=T","Dir=V")</f>
        <v>0</v>
      </c>
      <c r="AQ2">
        <f>BDH("SCWO US Equity","PX_LAST","1993-06-18","2026-05-02","Per=M","Days=T","Dir=V")</f>
        <v>0</v>
      </c>
      <c r="AS2">
        <f>BDH("SCWO US Equity","CUR_MKT_CAP","1993-06-18","2026-05-02","Per=M","Days=T","Dir=V")</f>
        <v>0</v>
      </c>
      <c r="AU2">
        <f>BDH("SCWO US Equity","EQY_SH_OUT","1993-06-18","2026-05-02","Per=M","Days=T","Dir=V")</f>
        <v>0</v>
      </c>
      <c r="AW2">
        <f>BDH("SCWO US Equity","PX_VOLUME","1993-06-18","2026-05-02","Per=M","Days=T","Dir=V")</f>
        <v>0</v>
      </c>
      <c r="AY2">
        <f>BDH("SCWO US Equity","TURNOVER","1993-06-18","2026-05-02","Per=M","Days=T","Dir=V")</f>
        <v>0</v>
      </c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BDH("SCYX US Equity","BS_TOT_ASSET","1993-06-18","2026-05-02","Per=Y","Days=T","Dir=V")</f>
        <v>0</v>
      </c>
      <c r="C2">
        <f>BDH("SCYX US Equity","BS_TOT_LIAB2","1993-06-18","2026-05-02","Per=Y","Days=T","Dir=V")</f>
        <v>0</v>
      </c>
      <c r="E2">
        <f>BDH("SCYX US Equity","SHORT_AND_LONG_TERM_DEBT","1993-06-18","2026-05-02","Per=Y","Days=T","Dir=V")</f>
        <v>0</v>
      </c>
      <c r="G2">
        <f>BDH("SCYX US Equity","BS_ST_BORROW","1993-06-18","2026-05-02","Per=Y","Days=T","Dir=V")</f>
        <v>0</v>
      </c>
      <c r="I2">
        <f>BDH("SCYX US Equity","BS_LT_BORROW","1993-06-18","2026-05-02","Per=Y","Days=T","Dir=V")</f>
        <v>0</v>
      </c>
      <c r="K2">
        <f>BDH("SCYX US Equity","BS_CASH_NEAR_CASH_ITEM","1993-06-18","2026-05-02","Per=Y","Days=T","Dir=V")</f>
        <v>0</v>
      </c>
      <c r="M2">
        <f>BDH("SCYX US Equity","BS_CUR_ASSET_REPORT","1993-06-18","2026-05-02","Per=Y","Days=T","Dir=V")</f>
        <v>0</v>
      </c>
      <c r="O2">
        <f>BDH("SCYX US Equity","BS_CUR_LIAB","1993-06-18","2026-05-02","Per=Y","Days=T","Dir=V")</f>
        <v>0</v>
      </c>
      <c r="Q2">
        <f>BDH("SCYX US Equity","BS_SHAREHOLDER_EQY_ENDING_PERIOD","1993-06-18","2026-05-02","Per=Y","Days=T","Dir=V")</f>
        <v>0</v>
      </c>
      <c r="S2">
        <f>BDH("SCYX US Equity","BS_ACCT_NOTE_RCV","1993-06-18","2026-05-02","Per=Y","Days=T","Dir=V")</f>
        <v>0</v>
      </c>
      <c r="U2">
        <f>BDH("SCYX US Equity","BS_INVENTORIES","1993-06-18","2026-05-02","Per=Y","Days=T","Dir=V")</f>
        <v>0</v>
      </c>
      <c r="W2">
        <f>BDH("SCYX US Equity","WORKING_CAPITAL","1993-06-18","2026-05-02","Per=Y","Days=T","Dir=V")</f>
        <v>0</v>
      </c>
      <c r="Y2">
        <f>BDH("SCYX US Equity","SALES_REV_TURN","1993-06-18","2026-05-02","Per=Y","Days=T","Dir=V")</f>
        <v>0</v>
      </c>
      <c r="AA2">
        <f>BDH("SCYX US Equity","EBIT","1993-06-18","2026-05-02","Per=Y","Days=T","Dir=V")</f>
        <v>0</v>
      </c>
      <c r="AC2">
        <f>BDH("SCYX US Equity","EBITDA","1993-06-18","2026-05-02","Per=Y","Days=T","Dir=V")</f>
        <v>0</v>
      </c>
      <c r="AE2">
        <f>BDH("SCYX US Equity","NET_INCOME","1993-06-18","2026-05-02","Per=Y","Days=T","Dir=V")</f>
        <v>0</v>
      </c>
      <c r="AG2">
        <f>BDH("SCYX US Equity","IS_INT_EXPENSE","1993-06-18","2026-05-02","Per=Y","Days=T","Dir=V")</f>
        <v>0</v>
      </c>
      <c r="AI2">
        <f>BDH("SCYX US Equity","IS_DEPR_EXP","1993-06-18","2026-05-02","Per=Y","Days=T","Dir=V")</f>
        <v>0</v>
      </c>
      <c r="AK2">
        <f>BDH("SCYX US Equity","CF_CASH_FROM_OPER","1993-06-18","2026-05-02","Per=Y","Days=T","Dir=V")</f>
        <v>0</v>
      </c>
      <c r="AM2">
        <f>BDH("SCYX US Equity","CAPITAL_EXPEND","1993-06-18","2026-05-02","Per=Y","Days=T","Dir=V")</f>
        <v>0</v>
      </c>
      <c r="AO2">
        <f>BDH("SCYX US Equity","CF_FREE_CASH_FLOW","1993-06-18","2026-05-02","Per=Y","Days=T","Dir=V")</f>
        <v>0</v>
      </c>
      <c r="AQ2">
        <f>BDH("SCYX US Equity","PX_LAST","1993-06-18","2026-05-02","Per=M","Days=T","Dir=V")</f>
        <v>0</v>
      </c>
      <c r="AS2">
        <f>BDH("SCYX US Equity","CUR_MKT_CAP","1993-06-18","2026-05-02","Per=M","Days=T","Dir=V")</f>
        <v>0</v>
      </c>
      <c r="AU2">
        <f>BDH("SCYX US Equity","EQY_SH_OUT","1993-06-18","2026-05-02","Per=M","Days=T","Dir=V")</f>
        <v>0</v>
      </c>
      <c r="AW2">
        <f>BDH("SCYX US Equity","PX_VOLUME","1993-06-18","2026-05-02","Per=M","Days=T","Dir=V")</f>
        <v>0</v>
      </c>
      <c r="AY2">
        <f>BDH("SCYX US Equity","TURNOVER","1993-06-18","2026-05-02","Per=M","Days=T","Dir=V")</f>
        <v>0</v>
      </c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BDH("SD US Equity","BS_TOT_ASSET","1993-06-18","2026-05-02","Per=Y","Days=T","Dir=V")</f>
        <v>0</v>
      </c>
      <c r="C2">
        <f>BDH("SD US Equity","BS_TOT_LIAB2","1993-06-18","2026-05-02","Per=Y","Days=T","Dir=V")</f>
        <v>0</v>
      </c>
      <c r="E2">
        <f>BDH("SD US Equity","SHORT_AND_LONG_TERM_DEBT","1993-06-18","2026-05-02","Per=Y","Days=T","Dir=V")</f>
        <v>0</v>
      </c>
      <c r="G2">
        <f>BDH("SD US Equity","BS_ST_BORROW","1993-06-18","2026-05-02","Per=Y","Days=T","Dir=V")</f>
        <v>0</v>
      </c>
      <c r="I2">
        <f>BDH("SD US Equity","BS_LT_BORROW","1993-06-18","2026-05-02","Per=Y","Days=T","Dir=V")</f>
        <v>0</v>
      </c>
      <c r="K2">
        <f>BDH("SD US Equity","BS_CASH_NEAR_CASH_ITEM","1993-06-18","2026-05-02","Per=Y","Days=T","Dir=V")</f>
        <v>0</v>
      </c>
      <c r="M2">
        <f>BDH("SD US Equity","BS_CUR_ASSET_REPORT","1993-06-18","2026-05-02","Per=Y","Days=T","Dir=V")</f>
        <v>0</v>
      </c>
      <c r="O2">
        <f>BDH("SD US Equity","BS_CUR_LIAB","1993-06-18","2026-05-02","Per=Y","Days=T","Dir=V")</f>
        <v>0</v>
      </c>
      <c r="Q2">
        <f>BDH("SD US Equity","BS_SHAREHOLDER_EQY_ENDING_PERIOD","1993-06-18","2026-05-02","Per=Y","Days=T","Dir=V")</f>
        <v>0</v>
      </c>
      <c r="S2">
        <f>BDH("SD US Equity","BS_ACCT_NOTE_RCV","1993-06-18","2026-05-02","Per=Y","Days=T","Dir=V")</f>
        <v>0</v>
      </c>
      <c r="U2">
        <f>BDH("SD US Equity","BS_INVENTORIES","1993-06-18","2026-05-02","Per=Y","Days=T","Dir=V")</f>
        <v>0</v>
      </c>
      <c r="W2">
        <f>BDH("SD US Equity","WORKING_CAPITAL","1993-06-18","2026-05-02","Per=Y","Days=T","Dir=V")</f>
        <v>0</v>
      </c>
      <c r="Y2">
        <f>BDH("SD US Equity","SALES_REV_TURN","1993-06-18","2026-05-02","Per=Y","Days=T","Dir=V")</f>
        <v>0</v>
      </c>
      <c r="AA2">
        <f>BDH("SD US Equity","EBIT","1993-06-18","2026-05-02","Per=Y","Days=T","Dir=V")</f>
        <v>0</v>
      </c>
      <c r="AC2">
        <f>BDH("SD US Equity","EBITDA","1993-06-18","2026-05-02","Per=Y","Days=T","Dir=V")</f>
        <v>0</v>
      </c>
      <c r="AE2">
        <f>BDH("SD US Equity","NET_INCOME","1993-06-18","2026-05-02","Per=Y","Days=T","Dir=V")</f>
        <v>0</v>
      </c>
      <c r="AG2">
        <f>BDH("SD US Equity","IS_INT_EXPENSE","1993-06-18","2026-05-02","Per=Y","Days=T","Dir=V")</f>
        <v>0</v>
      </c>
      <c r="AI2">
        <f>BDH("SD US Equity","IS_DEPR_EXP","1993-06-18","2026-05-02","Per=Y","Days=T","Dir=V")</f>
        <v>0</v>
      </c>
      <c r="AK2">
        <f>BDH("SD US Equity","CF_CASH_FROM_OPER","1993-06-18","2026-05-02","Per=Y","Days=T","Dir=V")</f>
        <v>0</v>
      </c>
      <c r="AM2">
        <f>BDH("SD US Equity","CAPITAL_EXPEND","1993-06-18","2026-05-02","Per=Y","Days=T","Dir=V")</f>
        <v>0</v>
      </c>
      <c r="AO2">
        <f>BDH("SD US Equity","CF_FREE_CASH_FLOW","1993-06-18","2026-05-02","Per=Y","Days=T","Dir=V")</f>
        <v>0</v>
      </c>
      <c r="AQ2">
        <f>BDH("SD US Equity","PX_LAST","1993-06-18","2026-05-02","Per=M","Days=T","Dir=V")</f>
        <v>0</v>
      </c>
      <c r="AS2">
        <f>BDH("SD US Equity","CUR_MKT_CAP","1993-06-18","2026-05-02","Per=M","Days=T","Dir=V")</f>
        <v>0</v>
      </c>
      <c r="AU2">
        <f>BDH("SD US Equity","EQY_SH_OUT","1993-06-18","2026-05-02","Per=M","Days=T","Dir=V")</f>
        <v>0</v>
      </c>
      <c r="AW2">
        <f>BDH("SD US Equity","PX_VOLUME","1993-06-18","2026-05-02","Per=M","Days=T","Dir=V")</f>
        <v>0</v>
      </c>
      <c r="AY2">
        <f>BDH("SD US Equity","TURNOVER","1993-06-18","2026-05-02","Per=M","Days=T","Dir=V")</f>
        <v>0</v>
      </c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BDH("SDEV US Equity","BS_TOT_ASSET","1993-06-18","2026-05-02","Per=Y","Days=T","Dir=V")</f>
        <v>0</v>
      </c>
      <c r="C2">
        <f>BDH("SDEV US Equity","BS_TOT_LIAB2","1993-06-18","2026-05-02","Per=Y","Days=T","Dir=V")</f>
        <v>0</v>
      </c>
      <c r="E2">
        <f>BDH("SDEV US Equity","SHORT_AND_LONG_TERM_DEBT","1993-06-18","2026-05-02","Per=Y","Days=T","Dir=V")</f>
        <v>0</v>
      </c>
      <c r="G2">
        <f>BDH("SDEV US Equity","BS_ST_BORROW","1993-06-18","2026-05-02","Per=Y","Days=T","Dir=V")</f>
        <v>0</v>
      </c>
      <c r="I2">
        <f>BDH("SDEV US Equity","BS_LT_BORROW","1993-06-18","2026-05-02","Per=Y","Days=T","Dir=V")</f>
        <v>0</v>
      </c>
      <c r="K2">
        <f>BDH("SDEV US Equity","BS_CASH_NEAR_CASH_ITEM","1993-06-18","2026-05-02","Per=Y","Days=T","Dir=V")</f>
        <v>0</v>
      </c>
      <c r="M2">
        <f>BDH("SDEV US Equity","BS_CUR_ASSET_REPORT","1993-06-18","2026-05-02","Per=Y","Days=T","Dir=V")</f>
        <v>0</v>
      </c>
      <c r="O2">
        <f>BDH("SDEV US Equity","BS_CUR_LIAB","1993-06-18","2026-05-02","Per=Y","Days=T","Dir=V")</f>
        <v>0</v>
      </c>
      <c r="Q2">
        <f>BDH("SDEV US Equity","BS_SHAREHOLDER_EQY_ENDING_PERIOD","1993-06-18","2026-05-02","Per=Y","Days=T","Dir=V")</f>
        <v>0</v>
      </c>
      <c r="S2">
        <f>BDH("SDEV US Equity","BS_ACCT_NOTE_RCV","1993-06-18","2026-05-02","Per=Y","Days=T","Dir=V")</f>
        <v>0</v>
      </c>
      <c r="U2">
        <f>BDH("SDEV US Equity","BS_INVENTORIES","1993-06-18","2026-05-02","Per=Y","Days=T","Dir=V")</f>
        <v>0</v>
      </c>
      <c r="W2">
        <f>BDH("SDEV US Equity","WORKING_CAPITAL","1993-06-18","2026-05-02","Per=Y","Days=T","Dir=V")</f>
        <v>0</v>
      </c>
      <c r="Y2">
        <f>BDH("SDEV US Equity","SALES_REV_TURN","1993-06-18","2026-05-02","Per=Y","Days=T","Dir=V")</f>
        <v>0</v>
      </c>
      <c r="AA2">
        <f>BDH("SDEV US Equity","EBIT","1993-06-18","2026-05-02","Per=Y","Days=T","Dir=V")</f>
        <v>0</v>
      </c>
      <c r="AC2">
        <f>BDH("SDEV US Equity","EBITDA","1993-06-18","2026-05-02","Per=Y","Days=T","Dir=V")</f>
        <v>0</v>
      </c>
      <c r="AE2">
        <f>BDH("SDEV US Equity","NET_INCOME","1993-06-18","2026-05-02","Per=Y","Days=T","Dir=V")</f>
        <v>0</v>
      </c>
      <c r="AG2">
        <f>BDH("SDEV US Equity","IS_INT_EXPENSE","1993-06-18","2026-05-02","Per=Y","Days=T","Dir=V")</f>
        <v>0</v>
      </c>
      <c r="AI2">
        <f>BDH("SDEV US Equity","IS_DEPR_EXP","1993-06-18","2026-05-02","Per=Y","Days=T","Dir=V")</f>
        <v>0</v>
      </c>
      <c r="AK2">
        <f>BDH("SDEV US Equity","CF_CASH_FROM_OPER","1993-06-18","2026-05-02","Per=Y","Days=T","Dir=V")</f>
        <v>0</v>
      </c>
      <c r="AM2">
        <f>BDH("SDEV US Equity","CAPITAL_EXPEND","1993-06-18","2026-05-02","Per=Y","Days=T","Dir=V")</f>
        <v>0</v>
      </c>
      <c r="AO2">
        <f>BDH("SDEV US Equity","CF_FREE_CASH_FLOW","1993-06-18","2026-05-02","Per=Y","Days=T","Dir=V")</f>
        <v>0</v>
      </c>
      <c r="AQ2">
        <f>BDH("SDEV US Equity","PX_LAST","1993-06-18","2026-05-02","Per=M","Days=T","Dir=V")</f>
        <v>0</v>
      </c>
      <c r="AS2">
        <f>BDH("SDEV US Equity","CUR_MKT_CAP","1993-06-18","2026-05-02","Per=M","Days=T","Dir=V")</f>
        <v>0</v>
      </c>
      <c r="AU2">
        <f>BDH("SDEV US Equity","EQY_SH_OUT","1993-06-18","2026-05-02","Per=M","Days=T","Dir=V")</f>
        <v>0</v>
      </c>
      <c r="AW2">
        <f>BDH("SDEV US Equity","PX_VOLUME","1993-06-18","2026-05-02","Per=M","Days=T","Dir=V")</f>
        <v>0</v>
      </c>
      <c r="AY2">
        <f>BDH("SDEV US Equity","TURNOVER","1993-06-18","2026-05-02","Per=M","Days=T","Dir=V")</f>
        <v>0</v>
      </c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BDH("SDGR US Equity","BS_TOT_ASSET","1993-06-18","2026-05-02","Per=Y","Days=T","Dir=V")</f>
        <v>0</v>
      </c>
      <c r="C2">
        <f>BDH("SDGR US Equity","BS_TOT_LIAB2","1993-06-18","2026-05-02","Per=Y","Days=T","Dir=V")</f>
        <v>0</v>
      </c>
      <c r="E2">
        <f>BDH("SDGR US Equity","SHORT_AND_LONG_TERM_DEBT","1993-06-18","2026-05-02","Per=Y","Days=T","Dir=V")</f>
        <v>0</v>
      </c>
      <c r="G2">
        <f>BDH("SDGR US Equity","BS_ST_BORROW","1993-06-18","2026-05-02","Per=Y","Days=T","Dir=V")</f>
        <v>0</v>
      </c>
      <c r="I2">
        <f>BDH("SDGR US Equity","BS_LT_BORROW","1993-06-18","2026-05-02","Per=Y","Days=T","Dir=V")</f>
        <v>0</v>
      </c>
      <c r="K2">
        <f>BDH("SDGR US Equity","BS_CASH_NEAR_CASH_ITEM","1993-06-18","2026-05-02","Per=Y","Days=T","Dir=V")</f>
        <v>0</v>
      </c>
      <c r="M2">
        <f>BDH("SDGR US Equity","BS_CUR_ASSET_REPORT","1993-06-18","2026-05-02","Per=Y","Days=T","Dir=V")</f>
        <v>0</v>
      </c>
      <c r="O2">
        <f>BDH("SDGR US Equity","BS_CUR_LIAB","1993-06-18","2026-05-02","Per=Y","Days=T","Dir=V")</f>
        <v>0</v>
      </c>
      <c r="Q2">
        <f>BDH("SDGR US Equity","BS_SHAREHOLDER_EQY_ENDING_PERIOD","1993-06-18","2026-05-02","Per=Y","Days=T","Dir=V")</f>
        <v>0</v>
      </c>
      <c r="S2">
        <f>BDH("SDGR US Equity","BS_ACCT_NOTE_RCV","1993-06-18","2026-05-02","Per=Y","Days=T","Dir=V")</f>
        <v>0</v>
      </c>
      <c r="U2">
        <f>BDH("SDGR US Equity","BS_INVENTORIES","1993-06-18","2026-05-02","Per=Y","Days=T","Dir=V")</f>
        <v>0</v>
      </c>
      <c r="W2">
        <f>BDH("SDGR US Equity","WORKING_CAPITAL","1993-06-18","2026-05-02","Per=Y","Days=T","Dir=V")</f>
        <v>0</v>
      </c>
      <c r="Y2">
        <f>BDH("SDGR US Equity","SALES_REV_TURN","1993-06-18","2026-05-02","Per=Y","Days=T","Dir=V")</f>
        <v>0</v>
      </c>
      <c r="AA2">
        <f>BDH("SDGR US Equity","EBIT","1993-06-18","2026-05-02","Per=Y","Days=T","Dir=V")</f>
        <v>0</v>
      </c>
      <c r="AC2">
        <f>BDH("SDGR US Equity","EBITDA","1993-06-18","2026-05-02","Per=Y","Days=T","Dir=V")</f>
        <v>0</v>
      </c>
      <c r="AE2">
        <f>BDH("SDGR US Equity","NET_INCOME","1993-06-18","2026-05-02","Per=Y","Days=T","Dir=V")</f>
        <v>0</v>
      </c>
      <c r="AG2">
        <f>BDH("SDGR US Equity","IS_INT_EXPENSE","1993-06-18","2026-05-02","Per=Y","Days=T","Dir=V")</f>
        <v>0</v>
      </c>
      <c r="AI2">
        <f>BDH("SDGR US Equity","IS_DEPR_EXP","1993-06-18","2026-05-02","Per=Y","Days=T","Dir=V")</f>
        <v>0</v>
      </c>
      <c r="AK2">
        <f>BDH("SDGR US Equity","CF_CASH_FROM_OPER","1993-06-18","2026-05-02","Per=Y","Days=T","Dir=V")</f>
        <v>0</v>
      </c>
      <c r="AM2">
        <f>BDH("SDGR US Equity","CAPITAL_EXPEND","1993-06-18","2026-05-02","Per=Y","Days=T","Dir=V")</f>
        <v>0</v>
      </c>
      <c r="AO2">
        <f>BDH("SDGR US Equity","CF_FREE_CASH_FLOW","1993-06-18","2026-05-02","Per=Y","Days=T","Dir=V")</f>
        <v>0</v>
      </c>
      <c r="AQ2">
        <f>BDH("SDGR US Equity","PX_LAST","1993-06-18","2026-05-02","Per=M","Days=T","Dir=V")</f>
        <v>0</v>
      </c>
      <c r="AS2">
        <f>BDH("SDGR US Equity","CUR_MKT_CAP","1993-06-18","2026-05-02","Per=M","Days=T","Dir=V")</f>
        <v>0</v>
      </c>
      <c r="AU2">
        <f>BDH("SDGR US Equity","EQY_SH_OUT","1993-06-18","2026-05-02","Per=M","Days=T","Dir=V")</f>
        <v>0</v>
      </c>
      <c r="AW2">
        <f>BDH("SDGR US Equity","PX_VOLUME","1993-06-18","2026-05-02","Per=M","Days=T","Dir=V")</f>
        <v>0</v>
      </c>
      <c r="AY2">
        <f>BDH("SDGR US Equity","TURNOVER","1993-06-18","2026-05-02","Per=M","Days=T","Dir=V")</f>
        <v>0</v>
      </c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BDH("SDHC US Equity","BS_TOT_ASSET","1993-06-18","2026-05-02","Per=Y","Days=T","Dir=V")</f>
        <v>0</v>
      </c>
      <c r="C2">
        <f>BDH("SDHC US Equity","BS_TOT_LIAB2","1993-06-18","2026-05-02","Per=Y","Days=T","Dir=V")</f>
        <v>0</v>
      </c>
      <c r="E2">
        <f>BDH("SDHC US Equity","SHORT_AND_LONG_TERM_DEBT","1993-06-18","2026-05-02","Per=Y","Days=T","Dir=V")</f>
        <v>0</v>
      </c>
      <c r="G2">
        <f>BDH("SDHC US Equity","BS_ST_BORROW","1993-06-18","2026-05-02","Per=Y","Days=T","Dir=V")</f>
        <v>0</v>
      </c>
      <c r="I2">
        <f>BDH("SDHC US Equity","BS_LT_BORROW","1993-06-18","2026-05-02","Per=Y","Days=T","Dir=V")</f>
        <v>0</v>
      </c>
      <c r="K2">
        <f>BDH("SDHC US Equity","BS_CASH_NEAR_CASH_ITEM","1993-06-18","2026-05-02","Per=Y","Days=T","Dir=V")</f>
        <v>0</v>
      </c>
      <c r="M2">
        <f>BDH("SDHC US Equity","BS_CUR_ASSET_REPORT","1993-06-18","2026-05-02","Per=Y","Days=T","Dir=V")</f>
        <v>0</v>
      </c>
      <c r="O2">
        <f>BDH("SDHC US Equity","BS_CUR_LIAB","1993-06-18","2026-05-02","Per=Y","Days=T","Dir=V")</f>
        <v>0</v>
      </c>
      <c r="Q2">
        <f>BDH("SDHC US Equity","BS_SHAREHOLDER_EQY_ENDING_PERIOD","1993-06-18","2026-05-02","Per=Y","Days=T","Dir=V")</f>
        <v>0</v>
      </c>
      <c r="S2">
        <f>BDH("SDHC US Equity","BS_ACCT_NOTE_RCV","1993-06-18","2026-05-02","Per=Y","Days=T","Dir=V")</f>
        <v>0</v>
      </c>
      <c r="U2">
        <f>BDH("SDHC US Equity","BS_INVENTORIES","1993-06-18","2026-05-02","Per=Y","Days=T","Dir=V")</f>
        <v>0</v>
      </c>
      <c r="W2">
        <f>BDH("SDHC US Equity","WORKING_CAPITAL","1993-06-18","2026-05-02","Per=Y","Days=T","Dir=V")</f>
        <v>0</v>
      </c>
      <c r="Y2">
        <f>BDH("SDHC US Equity","SALES_REV_TURN","1993-06-18","2026-05-02","Per=Y","Days=T","Dir=V")</f>
        <v>0</v>
      </c>
      <c r="AA2">
        <f>BDH("SDHC US Equity","EBIT","1993-06-18","2026-05-02","Per=Y","Days=T","Dir=V")</f>
        <v>0</v>
      </c>
      <c r="AC2">
        <f>BDH("SDHC US Equity","EBITDA","1993-06-18","2026-05-02","Per=Y","Days=T","Dir=V")</f>
        <v>0</v>
      </c>
      <c r="AE2">
        <f>BDH("SDHC US Equity","NET_INCOME","1993-06-18","2026-05-02","Per=Y","Days=T","Dir=V")</f>
        <v>0</v>
      </c>
      <c r="AG2">
        <f>BDH("SDHC US Equity","IS_INT_EXPENSE","1993-06-18","2026-05-02","Per=Y","Days=T","Dir=V")</f>
        <v>0</v>
      </c>
      <c r="AI2">
        <f>BDH("SDHC US Equity","IS_DEPR_EXP","1993-06-18","2026-05-02","Per=Y","Days=T","Dir=V")</f>
        <v>0</v>
      </c>
      <c r="AK2">
        <f>BDH("SDHC US Equity","CF_CASH_FROM_OPER","1993-06-18","2026-05-02","Per=Y","Days=T","Dir=V")</f>
        <v>0</v>
      </c>
      <c r="AM2">
        <f>BDH("SDHC US Equity","CAPITAL_EXPEND","1993-06-18","2026-05-02","Per=Y","Days=T","Dir=V")</f>
        <v>0</v>
      </c>
      <c r="AO2">
        <f>BDH("SDHC US Equity","CF_FREE_CASH_FLOW","1993-06-18","2026-05-02","Per=Y","Days=T","Dir=V")</f>
        <v>0</v>
      </c>
      <c r="AQ2">
        <f>BDH("SDHC US Equity","PX_LAST","1993-06-18","2026-05-02","Per=M","Days=T","Dir=V")</f>
        <v>0</v>
      </c>
      <c r="AS2">
        <f>BDH("SDHC US Equity","CUR_MKT_CAP","1993-06-18","2026-05-02","Per=M","Days=T","Dir=V")</f>
        <v>0</v>
      </c>
      <c r="AU2">
        <f>BDH("SDHC US Equity","EQY_SH_OUT","1993-06-18","2026-05-02","Per=M","Days=T","Dir=V")</f>
        <v>0</v>
      </c>
      <c r="AW2">
        <f>BDH("SDHC US Equity","PX_VOLUME","1993-06-18","2026-05-02","Per=M","Days=T","Dir=V")</f>
        <v>0</v>
      </c>
      <c r="AY2">
        <f>BDH("SDHC US Equity","TURNOVER","1993-06-18","2026-05-02","Per=M","Days=T","Dir=V")</f>
        <v>0</v>
      </c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BDH("SDOT US Equity","BS_TOT_ASSET","1993-06-18","2026-05-02","Per=Y","Days=T","Dir=V")</f>
        <v>0</v>
      </c>
      <c r="C2">
        <f>BDH("SDOT US Equity","BS_TOT_LIAB2","1993-06-18","2026-05-02","Per=Y","Days=T","Dir=V")</f>
        <v>0</v>
      </c>
      <c r="E2">
        <f>BDH("SDOT US Equity","SHORT_AND_LONG_TERM_DEBT","1993-06-18","2026-05-02","Per=Y","Days=T","Dir=V")</f>
        <v>0</v>
      </c>
      <c r="G2">
        <f>BDH("SDOT US Equity","BS_ST_BORROW","1993-06-18","2026-05-02","Per=Y","Days=T","Dir=V")</f>
        <v>0</v>
      </c>
      <c r="I2">
        <f>BDH("SDOT US Equity","BS_LT_BORROW","1993-06-18","2026-05-02","Per=Y","Days=T","Dir=V")</f>
        <v>0</v>
      </c>
      <c r="K2">
        <f>BDH("SDOT US Equity","BS_CASH_NEAR_CASH_ITEM","1993-06-18","2026-05-02","Per=Y","Days=T","Dir=V")</f>
        <v>0</v>
      </c>
      <c r="M2">
        <f>BDH("SDOT US Equity","BS_CUR_ASSET_REPORT","1993-06-18","2026-05-02","Per=Y","Days=T","Dir=V")</f>
        <v>0</v>
      </c>
      <c r="O2">
        <f>BDH("SDOT US Equity","BS_CUR_LIAB","1993-06-18","2026-05-02","Per=Y","Days=T","Dir=V")</f>
        <v>0</v>
      </c>
      <c r="Q2">
        <f>BDH("SDOT US Equity","BS_SHAREHOLDER_EQY_ENDING_PERIOD","1993-06-18","2026-05-02","Per=Y","Days=T","Dir=V")</f>
        <v>0</v>
      </c>
      <c r="S2">
        <f>BDH("SDOT US Equity","BS_ACCT_NOTE_RCV","1993-06-18","2026-05-02","Per=Y","Days=T","Dir=V")</f>
        <v>0</v>
      </c>
      <c r="U2">
        <f>BDH("SDOT US Equity","BS_INVENTORIES","1993-06-18","2026-05-02","Per=Y","Days=T","Dir=V")</f>
        <v>0</v>
      </c>
      <c r="W2">
        <f>BDH("SDOT US Equity","WORKING_CAPITAL","1993-06-18","2026-05-02","Per=Y","Days=T","Dir=V")</f>
        <v>0</v>
      </c>
      <c r="Y2">
        <f>BDH("SDOT US Equity","SALES_REV_TURN","1993-06-18","2026-05-02","Per=Y","Days=T","Dir=V")</f>
        <v>0</v>
      </c>
      <c r="AA2">
        <f>BDH("SDOT US Equity","EBIT","1993-06-18","2026-05-02","Per=Y","Days=T","Dir=V")</f>
        <v>0</v>
      </c>
      <c r="AC2">
        <f>BDH("SDOT US Equity","EBITDA","1993-06-18","2026-05-02","Per=Y","Days=T","Dir=V")</f>
        <v>0</v>
      </c>
      <c r="AE2">
        <f>BDH("SDOT US Equity","NET_INCOME","1993-06-18","2026-05-02","Per=Y","Days=T","Dir=V")</f>
        <v>0</v>
      </c>
      <c r="AG2">
        <f>BDH("SDOT US Equity","IS_INT_EXPENSE","1993-06-18","2026-05-02","Per=Y","Days=T","Dir=V")</f>
        <v>0</v>
      </c>
      <c r="AI2">
        <f>BDH("SDOT US Equity","IS_DEPR_EXP","1993-06-18","2026-05-02","Per=Y","Days=T","Dir=V")</f>
        <v>0</v>
      </c>
      <c r="AK2">
        <f>BDH("SDOT US Equity","CF_CASH_FROM_OPER","1993-06-18","2026-05-02","Per=Y","Days=T","Dir=V")</f>
        <v>0</v>
      </c>
      <c r="AM2">
        <f>BDH("SDOT US Equity","CAPITAL_EXPEND","1993-06-18","2026-05-02","Per=Y","Days=T","Dir=V")</f>
        <v>0</v>
      </c>
      <c r="AO2">
        <f>BDH("SDOT US Equity","CF_FREE_CASH_FLOW","1993-06-18","2026-05-02","Per=Y","Days=T","Dir=V")</f>
        <v>0</v>
      </c>
      <c r="AQ2">
        <f>BDH("SDOT US Equity","PX_LAST","1993-06-18","2026-05-02","Per=M","Days=T","Dir=V")</f>
        <v>0</v>
      </c>
      <c r="AS2">
        <f>BDH("SDOT US Equity","CUR_MKT_CAP","1993-06-18","2026-05-02","Per=M","Days=T","Dir=V")</f>
        <v>0</v>
      </c>
      <c r="AU2">
        <f>BDH("SDOT US Equity","EQY_SH_OUT","1993-06-18","2026-05-02","Per=M","Days=T","Dir=V")</f>
        <v>0</v>
      </c>
      <c r="AW2">
        <f>BDH("SDOT US Equity","PX_VOLUME","1993-06-18","2026-05-02","Per=M","Days=T","Dir=V")</f>
        <v>0</v>
      </c>
      <c r="AY2">
        <f>BDH("SDOT US Equity","TURNOVER","1993-06-18","2026-05-02","Per=M","Days=T","Dir=V")</f>
        <v>0</v>
      </c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BDH("SDST US Equity","BS_TOT_ASSET","1993-06-18","2026-05-02","Per=Y","Days=T","Dir=V")</f>
        <v>0</v>
      </c>
      <c r="C2">
        <f>BDH("SDST US Equity","BS_TOT_LIAB2","1993-06-18","2026-05-02","Per=Y","Days=T","Dir=V")</f>
        <v>0</v>
      </c>
      <c r="E2">
        <f>BDH("SDST US Equity","SHORT_AND_LONG_TERM_DEBT","1993-06-18","2026-05-02","Per=Y","Days=T","Dir=V")</f>
        <v>0</v>
      </c>
      <c r="G2">
        <f>BDH("SDST US Equity","BS_ST_BORROW","1993-06-18","2026-05-02","Per=Y","Days=T","Dir=V")</f>
        <v>0</v>
      </c>
      <c r="I2">
        <f>BDH("SDST US Equity","BS_LT_BORROW","1993-06-18","2026-05-02","Per=Y","Days=T","Dir=V")</f>
        <v>0</v>
      </c>
      <c r="K2">
        <f>BDH("SDST US Equity","BS_CASH_NEAR_CASH_ITEM","1993-06-18","2026-05-02","Per=Y","Days=T","Dir=V")</f>
        <v>0</v>
      </c>
      <c r="M2">
        <f>BDH("SDST US Equity","BS_CUR_ASSET_REPORT","1993-06-18","2026-05-02","Per=Y","Days=T","Dir=V")</f>
        <v>0</v>
      </c>
      <c r="O2">
        <f>BDH("SDST US Equity","BS_CUR_LIAB","1993-06-18","2026-05-02","Per=Y","Days=T","Dir=V")</f>
        <v>0</v>
      </c>
      <c r="Q2">
        <f>BDH("SDST US Equity","BS_SHAREHOLDER_EQY_ENDING_PERIOD","1993-06-18","2026-05-02","Per=Y","Days=T","Dir=V")</f>
        <v>0</v>
      </c>
      <c r="S2">
        <f>BDH("SDST US Equity","BS_ACCT_NOTE_RCV","1993-06-18","2026-05-02","Per=Y","Days=T","Dir=V")</f>
        <v>0</v>
      </c>
      <c r="U2">
        <f>BDH("SDST US Equity","BS_INVENTORIES","1993-06-18","2026-05-02","Per=Y","Days=T","Dir=V")</f>
        <v>0</v>
      </c>
      <c r="W2">
        <f>BDH("SDST US Equity","WORKING_CAPITAL","1993-06-18","2026-05-02","Per=Y","Days=T","Dir=V")</f>
        <v>0</v>
      </c>
      <c r="Y2">
        <f>BDH("SDST US Equity","SALES_REV_TURN","1993-06-18","2026-05-02","Per=Y","Days=T","Dir=V")</f>
        <v>0</v>
      </c>
      <c r="AA2">
        <f>BDH("SDST US Equity","EBIT","1993-06-18","2026-05-02","Per=Y","Days=T","Dir=V")</f>
        <v>0</v>
      </c>
      <c r="AC2">
        <f>BDH("SDST US Equity","EBITDA","1993-06-18","2026-05-02","Per=Y","Days=T","Dir=V")</f>
        <v>0</v>
      </c>
      <c r="AE2">
        <f>BDH("SDST US Equity","NET_INCOME","1993-06-18","2026-05-02","Per=Y","Days=T","Dir=V")</f>
        <v>0</v>
      </c>
      <c r="AG2">
        <f>BDH("SDST US Equity","IS_INT_EXPENSE","1993-06-18","2026-05-02","Per=Y","Days=T","Dir=V")</f>
        <v>0</v>
      </c>
      <c r="AI2">
        <f>BDH("SDST US Equity","IS_DEPR_EXP","1993-06-18","2026-05-02","Per=Y","Days=T","Dir=V")</f>
        <v>0</v>
      </c>
      <c r="AK2">
        <f>BDH("SDST US Equity","CF_CASH_FROM_OPER","1993-06-18","2026-05-02","Per=Y","Days=T","Dir=V")</f>
        <v>0</v>
      </c>
      <c r="AM2">
        <f>BDH("SDST US Equity","CAPITAL_EXPEND","1993-06-18","2026-05-02","Per=Y","Days=T","Dir=V")</f>
        <v>0</v>
      </c>
      <c r="AO2">
        <f>BDH("SDST US Equity","CF_FREE_CASH_FLOW","1993-06-18","2026-05-02","Per=Y","Days=T","Dir=V")</f>
        <v>0</v>
      </c>
      <c r="AQ2">
        <f>BDH("SDST US Equity","PX_LAST","1993-06-18","2026-05-02","Per=M","Days=T","Dir=V")</f>
        <v>0</v>
      </c>
      <c r="AS2">
        <f>BDH("SDST US Equity","CUR_MKT_CAP","1993-06-18","2026-05-02","Per=M","Days=T","Dir=V")</f>
        <v>0</v>
      </c>
      <c r="AU2">
        <f>BDH("SDST US Equity","EQY_SH_OUT","1993-06-18","2026-05-02","Per=M","Days=T","Dir=V")</f>
        <v>0</v>
      </c>
      <c r="AW2">
        <f>BDH("SDST US Equity","PX_VOLUME","1993-06-18","2026-05-02","Per=M","Days=T","Dir=V")</f>
        <v>0</v>
      </c>
      <c r="AY2">
        <f>BDH("SDST US Equity","TURNOVER","1993-06-18","2026-05-02","Per=M","Days=T","Dir=V")</f>
        <v>0</v>
      </c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 US Equity","BS_TOT_ASSET","1993-06-18","2026-05-02","Per=Y","Days=T","Dir=V")</f>
        <v>0</v>
      </c>
      <c r="C2">
        <f>BDH("SE US Equity","BS_TOT_LIAB2","1993-06-18","2026-05-02","Per=Y","Days=T","Dir=V")</f>
        <v>0</v>
      </c>
      <c r="E2">
        <f>BDH("SE US Equity","SHORT_AND_LONG_TERM_DEBT","1993-06-18","2026-05-02","Per=Y","Days=T","Dir=V")</f>
        <v>0</v>
      </c>
      <c r="G2">
        <f>BDH("SE US Equity","BS_ST_BORROW","1993-06-18","2026-05-02","Per=Y","Days=T","Dir=V")</f>
        <v>0</v>
      </c>
      <c r="I2">
        <f>BDH("SE US Equity","BS_LT_BORROW","1993-06-18","2026-05-02","Per=Y","Days=T","Dir=V")</f>
        <v>0</v>
      </c>
      <c r="K2">
        <f>BDH("SE US Equity","BS_CASH_NEAR_CASH_ITEM","1993-06-18","2026-05-02","Per=Y","Days=T","Dir=V")</f>
        <v>0</v>
      </c>
      <c r="M2">
        <f>BDH("SE US Equity","BS_CUR_ASSET_REPORT","1993-06-18","2026-05-02","Per=Y","Days=T","Dir=V")</f>
        <v>0</v>
      </c>
      <c r="O2">
        <f>BDH("SE US Equity","BS_CUR_LIAB","1993-06-18","2026-05-02","Per=Y","Days=T","Dir=V")</f>
        <v>0</v>
      </c>
      <c r="Q2">
        <f>BDH("SE US Equity","BS_SHAREHOLDER_EQY_ENDING_PERIOD","1993-06-18","2026-05-02","Per=Y","Days=T","Dir=V")</f>
        <v>0</v>
      </c>
      <c r="S2">
        <f>BDH("SE US Equity","BS_ACCT_NOTE_RCV","1993-06-18","2026-05-02","Per=Y","Days=T","Dir=V")</f>
        <v>0</v>
      </c>
      <c r="U2">
        <f>BDH("SE US Equity","BS_INVENTORIES","1993-06-18","2026-05-02","Per=Y","Days=T","Dir=V")</f>
        <v>0</v>
      </c>
      <c r="W2">
        <f>BDH("SE US Equity","WORKING_CAPITAL","1993-06-18","2026-05-02","Per=Y","Days=T","Dir=V")</f>
        <v>0</v>
      </c>
      <c r="Y2">
        <f>BDH("SE US Equity","SALES_REV_TURN","1993-06-18","2026-05-02","Per=Y","Days=T","Dir=V")</f>
        <v>0</v>
      </c>
      <c r="AA2">
        <f>BDH("SE US Equity","EBIT","1993-06-18","2026-05-02","Per=Y","Days=T","Dir=V")</f>
        <v>0</v>
      </c>
      <c r="AC2">
        <f>BDH("SE US Equity","EBITDA","1993-06-18","2026-05-02","Per=Y","Days=T","Dir=V")</f>
        <v>0</v>
      </c>
      <c r="AE2">
        <f>BDH("SE US Equity","NET_INCOME","1993-06-18","2026-05-02","Per=Y","Days=T","Dir=V")</f>
        <v>0</v>
      </c>
      <c r="AG2">
        <f>BDH("SE US Equity","IS_INT_EXPENSE","1993-06-18","2026-05-02","Per=Y","Days=T","Dir=V")</f>
        <v>0</v>
      </c>
      <c r="AI2">
        <f>BDH("SE US Equity","IS_DEPR_EXP","1993-06-18","2026-05-02","Per=Y","Days=T","Dir=V")</f>
        <v>0</v>
      </c>
      <c r="AK2">
        <f>BDH("SE US Equity","CF_CASH_FROM_OPER","1993-06-18","2026-05-02","Per=Y","Days=T","Dir=V")</f>
        <v>0</v>
      </c>
      <c r="AM2">
        <f>BDH("SE US Equity","CAPITAL_EXPEND","1993-06-18","2026-05-02","Per=Y","Days=T","Dir=V")</f>
        <v>0</v>
      </c>
      <c r="AO2">
        <f>BDH("SE US Equity","CF_FREE_CASH_FLOW","1993-06-18","2026-05-02","Per=Y","Days=T","Dir=V")</f>
        <v>0</v>
      </c>
      <c r="AQ2">
        <f>BDH("SE US Equity","PX_LAST","1993-06-18","2026-05-02","Per=M","Days=T","Dir=V")</f>
        <v>0</v>
      </c>
      <c r="AS2">
        <f>BDH("SE US Equity","CUR_MKT_CAP","1993-06-18","2026-05-02","Per=M","Days=T","Dir=V")</f>
        <v>0</v>
      </c>
      <c r="AU2">
        <f>BDH("SE US Equity","EQY_SH_OUT","1993-06-18","2026-05-02","Per=M","Days=T","Dir=V")</f>
        <v>0</v>
      </c>
      <c r="AW2">
        <f>BDH("SE US Equity","PX_VOLUME","1993-06-18","2026-05-02","Per=M","Days=T","Dir=V")</f>
        <v>0</v>
      </c>
      <c r="AY2">
        <f>BDH("SE US Equity","TURNOVER","1993-06-18","2026-05-02","Per=M","Days=T","Dir=V")</f>
        <v>0</v>
      </c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BDH("SEAT US Equity","BS_TOT_ASSET","1993-06-18","2026-05-02","Per=Y","Days=T","Dir=V")</f>
        <v>0</v>
      </c>
      <c r="C2">
        <f>BDH("SEAT US Equity","BS_TOT_LIAB2","1993-06-18","2026-05-02","Per=Y","Days=T","Dir=V")</f>
        <v>0</v>
      </c>
      <c r="E2">
        <f>BDH("SEAT US Equity","SHORT_AND_LONG_TERM_DEBT","1993-06-18","2026-05-02","Per=Y","Days=T","Dir=V")</f>
        <v>0</v>
      </c>
      <c r="G2">
        <f>BDH("SEAT US Equity","BS_ST_BORROW","1993-06-18","2026-05-02","Per=Y","Days=T","Dir=V")</f>
        <v>0</v>
      </c>
      <c r="I2">
        <f>BDH("SEAT US Equity","BS_LT_BORROW","1993-06-18","2026-05-02","Per=Y","Days=T","Dir=V")</f>
        <v>0</v>
      </c>
      <c r="K2">
        <f>BDH("SEAT US Equity","BS_CASH_NEAR_CASH_ITEM","1993-06-18","2026-05-02","Per=Y","Days=T","Dir=V")</f>
        <v>0</v>
      </c>
      <c r="M2">
        <f>BDH("SEAT US Equity","BS_CUR_ASSET_REPORT","1993-06-18","2026-05-02","Per=Y","Days=T","Dir=V")</f>
        <v>0</v>
      </c>
      <c r="O2">
        <f>BDH("SEAT US Equity","BS_CUR_LIAB","1993-06-18","2026-05-02","Per=Y","Days=T","Dir=V")</f>
        <v>0</v>
      </c>
      <c r="Q2">
        <f>BDH("SEAT US Equity","BS_SHAREHOLDER_EQY_ENDING_PERIOD","1993-06-18","2026-05-02","Per=Y","Days=T","Dir=V")</f>
        <v>0</v>
      </c>
      <c r="S2">
        <f>BDH("SEAT US Equity","BS_ACCT_NOTE_RCV","1993-06-18","2026-05-02","Per=Y","Days=T","Dir=V")</f>
        <v>0</v>
      </c>
      <c r="U2">
        <f>BDH("SEAT US Equity","BS_INVENTORIES","1993-06-18","2026-05-02","Per=Y","Days=T","Dir=V")</f>
        <v>0</v>
      </c>
      <c r="W2">
        <f>BDH("SEAT US Equity","WORKING_CAPITAL","1993-06-18","2026-05-02","Per=Y","Days=T","Dir=V")</f>
        <v>0</v>
      </c>
      <c r="Y2">
        <f>BDH("SEAT US Equity","SALES_REV_TURN","1993-06-18","2026-05-02","Per=Y","Days=T","Dir=V")</f>
        <v>0</v>
      </c>
      <c r="AA2">
        <f>BDH("SEAT US Equity","EBIT","1993-06-18","2026-05-02","Per=Y","Days=T","Dir=V")</f>
        <v>0</v>
      </c>
      <c r="AC2">
        <f>BDH("SEAT US Equity","EBITDA","1993-06-18","2026-05-02","Per=Y","Days=T","Dir=V")</f>
        <v>0</v>
      </c>
      <c r="AE2">
        <f>BDH("SEAT US Equity","NET_INCOME","1993-06-18","2026-05-02","Per=Y","Days=T","Dir=V")</f>
        <v>0</v>
      </c>
      <c r="AG2">
        <f>BDH("SEAT US Equity","IS_INT_EXPENSE","1993-06-18","2026-05-02","Per=Y","Days=T","Dir=V")</f>
        <v>0</v>
      </c>
      <c r="AI2">
        <f>BDH("SEAT US Equity","IS_DEPR_EXP","1993-06-18","2026-05-02","Per=Y","Days=T","Dir=V")</f>
        <v>0</v>
      </c>
      <c r="AK2">
        <f>BDH("SEAT US Equity","CF_CASH_FROM_OPER","1993-06-18","2026-05-02","Per=Y","Days=T","Dir=V")</f>
        <v>0</v>
      </c>
      <c r="AM2">
        <f>BDH("SEAT US Equity","CAPITAL_EXPEND","1993-06-18","2026-05-02","Per=Y","Days=T","Dir=V")</f>
        <v>0</v>
      </c>
      <c r="AO2">
        <f>BDH("SEAT US Equity","CF_FREE_CASH_FLOW","1993-06-18","2026-05-02","Per=Y","Days=T","Dir=V")</f>
        <v>0</v>
      </c>
      <c r="AQ2">
        <f>BDH("SEAT US Equity","PX_LAST","1993-06-18","2026-05-02","Per=M","Days=T","Dir=V")</f>
        <v>0</v>
      </c>
      <c r="AS2">
        <f>BDH("SEAT US Equity","CUR_MKT_CAP","1993-06-18","2026-05-02","Per=M","Days=T","Dir=V")</f>
        <v>0</v>
      </c>
      <c r="AU2">
        <f>BDH("SEAT US Equity","EQY_SH_OUT","1993-06-18","2026-05-02","Per=M","Days=T","Dir=V")</f>
        <v>0</v>
      </c>
      <c r="AW2">
        <f>BDH("SEAT US Equity","PX_VOLUME","1993-06-18","2026-05-02","Per=M","Days=T","Dir=V")</f>
        <v>0</v>
      </c>
      <c r="AY2">
        <f>BDH("SEAT US Equity","TURNOVER","1993-06-18","2026-05-02","Per=M","Days=T","Dir=V")</f>
        <v>0</v>
      </c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BDH("SEATW US Equity","BS_TOT_ASSET","1993-06-18","2026-05-02","Per=Y","Days=T","Dir=V")</f>
        <v>0</v>
      </c>
      <c r="C2">
        <f>BDH("SEATW US Equity","BS_TOT_LIAB2","1993-06-18","2026-05-02","Per=Y","Days=T","Dir=V")</f>
        <v>0</v>
      </c>
      <c r="E2">
        <f>BDH("SEATW US Equity","SHORT_AND_LONG_TERM_DEBT","1993-06-18","2026-05-02","Per=Y","Days=T","Dir=V")</f>
        <v>0</v>
      </c>
      <c r="G2">
        <f>BDH("SEATW US Equity","BS_ST_BORROW","1993-06-18","2026-05-02","Per=Y","Days=T","Dir=V")</f>
        <v>0</v>
      </c>
      <c r="I2">
        <f>BDH("SEATW US Equity","BS_LT_BORROW","1993-06-18","2026-05-02","Per=Y","Days=T","Dir=V")</f>
        <v>0</v>
      </c>
      <c r="K2">
        <f>BDH("SEATW US Equity","BS_CASH_NEAR_CASH_ITEM","1993-06-18","2026-05-02","Per=Y","Days=T","Dir=V")</f>
        <v>0</v>
      </c>
      <c r="M2">
        <f>BDH("SEATW US Equity","BS_CUR_ASSET_REPORT","1993-06-18","2026-05-02","Per=Y","Days=T","Dir=V")</f>
        <v>0</v>
      </c>
      <c r="O2">
        <f>BDH("SEATW US Equity","BS_CUR_LIAB","1993-06-18","2026-05-02","Per=Y","Days=T","Dir=V")</f>
        <v>0</v>
      </c>
      <c r="Q2">
        <f>BDH("SEATW US Equity","BS_SHAREHOLDER_EQY_ENDING_PERIOD","1993-06-18","2026-05-02","Per=Y","Days=T","Dir=V")</f>
        <v>0</v>
      </c>
      <c r="S2">
        <f>BDH("SEATW US Equity","BS_ACCT_NOTE_RCV","1993-06-18","2026-05-02","Per=Y","Days=T","Dir=V")</f>
        <v>0</v>
      </c>
      <c r="U2">
        <f>BDH("SEATW US Equity","BS_INVENTORIES","1993-06-18","2026-05-02","Per=Y","Days=T","Dir=V")</f>
        <v>0</v>
      </c>
      <c r="W2">
        <f>BDH("SEATW US Equity","WORKING_CAPITAL","1993-06-18","2026-05-02","Per=Y","Days=T","Dir=V")</f>
        <v>0</v>
      </c>
      <c r="Y2">
        <f>BDH("SEATW US Equity","SALES_REV_TURN","1993-06-18","2026-05-02","Per=Y","Days=T","Dir=V")</f>
        <v>0</v>
      </c>
      <c r="AA2">
        <f>BDH("SEATW US Equity","EBIT","1993-06-18","2026-05-02","Per=Y","Days=T","Dir=V")</f>
        <v>0</v>
      </c>
      <c r="AC2">
        <f>BDH("SEATW US Equity","EBITDA","1993-06-18","2026-05-02","Per=Y","Days=T","Dir=V")</f>
        <v>0</v>
      </c>
      <c r="AE2">
        <f>BDH("SEATW US Equity","NET_INCOME","1993-06-18","2026-05-02","Per=Y","Days=T","Dir=V")</f>
        <v>0</v>
      </c>
      <c r="AG2">
        <f>BDH("SEATW US Equity","IS_INT_EXPENSE","1993-06-18","2026-05-02","Per=Y","Days=T","Dir=V")</f>
        <v>0</v>
      </c>
      <c r="AI2">
        <f>BDH("SEATW US Equity","IS_DEPR_EXP","1993-06-18","2026-05-02","Per=Y","Days=T","Dir=V")</f>
        <v>0</v>
      </c>
      <c r="AK2">
        <f>BDH("SEATW US Equity","CF_CASH_FROM_OPER","1993-06-18","2026-05-02","Per=Y","Days=T","Dir=V")</f>
        <v>0</v>
      </c>
      <c r="AM2">
        <f>BDH("SEATW US Equity","CAPITAL_EXPEND","1993-06-18","2026-05-02","Per=Y","Days=T","Dir=V")</f>
        <v>0</v>
      </c>
      <c r="AO2">
        <f>BDH("SEATW US Equity","CF_FREE_CASH_FLOW","1993-06-18","2026-05-02","Per=Y","Days=T","Dir=V")</f>
        <v>0</v>
      </c>
      <c r="AQ2">
        <f>BDH("SEATW US Equity","PX_LAST","1993-06-18","2026-05-02","Per=M","Days=T","Dir=V")</f>
        <v>0</v>
      </c>
      <c r="AS2">
        <f>BDH("SEATW US Equity","CUR_MKT_CAP","1993-06-18","2026-05-02","Per=M","Days=T","Dir=V")</f>
        <v>0</v>
      </c>
      <c r="AU2">
        <f>BDH("SEATW US Equity","EQY_SH_OUT","1993-06-18","2026-05-02","Per=M","Days=T","Dir=V")</f>
        <v>0</v>
      </c>
      <c r="AW2">
        <f>BDH("SEATW US Equity","PX_VOLUME","1993-06-18","2026-05-02","Per=M","Days=T","Dir=V")</f>
        <v>0</v>
      </c>
      <c r="AY2">
        <f>BDH("SEATW US Equity","TURNOVER","1993-06-18","2026-05-02","Per=M","Days=T","Dir=V")</f>
        <v>0</v>
      </c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BDH("SEB US Equity","BS_TOT_ASSET","1993-06-18","2026-05-02","Per=Y","Days=T","Dir=V")</f>
        <v>0</v>
      </c>
      <c r="C2">
        <f>BDH("SEB US Equity","BS_TOT_LIAB2","1993-06-18","2026-05-02","Per=Y","Days=T","Dir=V")</f>
        <v>0</v>
      </c>
      <c r="E2">
        <f>BDH("SEB US Equity","SHORT_AND_LONG_TERM_DEBT","1993-06-18","2026-05-02","Per=Y","Days=T","Dir=V")</f>
        <v>0</v>
      </c>
      <c r="G2">
        <f>BDH("SEB US Equity","BS_ST_BORROW","1993-06-18","2026-05-02","Per=Y","Days=T","Dir=V")</f>
        <v>0</v>
      </c>
      <c r="I2">
        <f>BDH("SEB US Equity","BS_LT_BORROW","1993-06-18","2026-05-02","Per=Y","Days=T","Dir=V")</f>
        <v>0</v>
      </c>
      <c r="K2">
        <f>BDH("SEB US Equity","BS_CASH_NEAR_CASH_ITEM","1993-06-18","2026-05-02","Per=Y","Days=T","Dir=V")</f>
        <v>0</v>
      </c>
      <c r="M2">
        <f>BDH("SEB US Equity","BS_CUR_ASSET_REPORT","1993-06-18","2026-05-02","Per=Y","Days=T","Dir=V")</f>
        <v>0</v>
      </c>
      <c r="O2">
        <f>BDH("SEB US Equity","BS_CUR_LIAB","1993-06-18","2026-05-02","Per=Y","Days=T","Dir=V")</f>
        <v>0</v>
      </c>
      <c r="Q2">
        <f>BDH("SEB US Equity","BS_SHAREHOLDER_EQY_ENDING_PERIOD","1993-06-18","2026-05-02","Per=Y","Days=T","Dir=V")</f>
        <v>0</v>
      </c>
      <c r="S2">
        <f>BDH("SEB US Equity","BS_ACCT_NOTE_RCV","1993-06-18","2026-05-02","Per=Y","Days=T","Dir=V")</f>
        <v>0</v>
      </c>
      <c r="U2">
        <f>BDH("SEB US Equity","BS_INVENTORIES","1993-06-18","2026-05-02","Per=Y","Days=T","Dir=V")</f>
        <v>0</v>
      </c>
      <c r="W2">
        <f>BDH("SEB US Equity","WORKING_CAPITAL","1993-06-18","2026-05-02","Per=Y","Days=T","Dir=V")</f>
        <v>0</v>
      </c>
      <c r="Y2">
        <f>BDH("SEB US Equity","SALES_REV_TURN","1993-06-18","2026-05-02","Per=Y","Days=T","Dir=V")</f>
        <v>0</v>
      </c>
      <c r="AA2">
        <f>BDH("SEB US Equity","EBIT","1993-06-18","2026-05-02","Per=Y","Days=T","Dir=V")</f>
        <v>0</v>
      </c>
      <c r="AC2">
        <f>BDH("SEB US Equity","EBITDA","1993-06-18","2026-05-02","Per=Y","Days=T","Dir=V")</f>
        <v>0</v>
      </c>
      <c r="AE2">
        <f>BDH("SEB US Equity","NET_INCOME","1993-06-18","2026-05-02","Per=Y","Days=T","Dir=V")</f>
        <v>0</v>
      </c>
      <c r="AG2">
        <f>BDH("SEB US Equity","IS_INT_EXPENSE","1993-06-18","2026-05-02","Per=Y","Days=T","Dir=V")</f>
        <v>0</v>
      </c>
      <c r="AI2">
        <f>BDH("SEB US Equity","IS_DEPR_EXP","1993-06-18","2026-05-02","Per=Y","Days=T","Dir=V")</f>
        <v>0</v>
      </c>
      <c r="AK2">
        <f>BDH("SEB US Equity","CF_CASH_FROM_OPER","1993-06-18","2026-05-02","Per=Y","Days=T","Dir=V")</f>
        <v>0</v>
      </c>
      <c r="AM2">
        <f>BDH("SEB US Equity","CAPITAL_EXPEND","1993-06-18","2026-05-02","Per=Y","Days=T","Dir=V")</f>
        <v>0</v>
      </c>
      <c r="AO2">
        <f>BDH("SEB US Equity","CF_FREE_CASH_FLOW","1993-06-18","2026-05-02","Per=Y","Days=T","Dir=V")</f>
        <v>0</v>
      </c>
      <c r="AQ2">
        <f>BDH("SEB US Equity","PX_LAST","1993-06-18","2026-05-02","Per=M","Days=T","Dir=V")</f>
        <v>0</v>
      </c>
      <c r="AS2">
        <f>BDH("SEB US Equity","CUR_MKT_CAP","1993-06-18","2026-05-02","Per=M","Days=T","Dir=V")</f>
        <v>0</v>
      </c>
      <c r="AU2">
        <f>BDH("SEB US Equity","EQY_SH_OUT","1993-06-18","2026-05-02","Per=M","Days=T","Dir=V")</f>
        <v>0</v>
      </c>
      <c r="AW2">
        <f>BDH("SEB US Equity","PX_VOLUME","1993-06-18","2026-05-02","Per=M","Days=T","Dir=V")</f>
        <v>0</v>
      </c>
      <c r="AY2">
        <f>BDH("SEB US Equity","TURNOVER","1993-06-18","2026-05-02","Per=M","Days=T","Dir=V")</f>
        <v>0</v>
      </c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BDH("SEER US Equity","BS_TOT_ASSET","1993-06-18","2026-05-02","Per=Y","Days=T","Dir=V")</f>
        <v>0</v>
      </c>
      <c r="C2">
        <f>BDH("SEER US Equity","BS_TOT_LIAB2","1993-06-18","2026-05-02","Per=Y","Days=T","Dir=V")</f>
        <v>0</v>
      </c>
      <c r="E2">
        <f>BDH("SEER US Equity","SHORT_AND_LONG_TERM_DEBT","1993-06-18","2026-05-02","Per=Y","Days=T","Dir=V")</f>
        <v>0</v>
      </c>
      <c r="G2">
        <f>BDH("SEER US Equity","BS_ST_BORROW","1993-06-18","2026-05-02","Per=Y","Days=T","Dir=V")</f>
        <v>0</v>
      </c>
      <c r="I2">
        <f>BDH("SEER US Equity","BS_LT_BORROW","1993-06-18","2026-05-02","Per=Y","Days=T","Dir=V")</f>
        <v>0</v>
      </c>
      <c r="K2">
        <f>BDH("SEER US Equity","BS_CASH_NEAR_CASH_ITEM","1993-06-18","2026-05-02","Per=Y","Days=T","Dir=V")</f>
        <v>0</v>
      </c>
      <c r="M2">
        <f>BDH("SEER US Equity","BS_CUR_ASSET_REPORT","1993-06-18","2026-05-02","Per=Y","Days=T","Dir=V")</f>
        <v>0</v>
      </c>
      <c r="O2">
        <f>BDH("SEER US Equity","BS_CUR_LIAB","1993-06-18","2026-05-02","Per=Y","Days=T","Dir=V")</f>
        <v>0</v>
      </c>
      <c r="Q2">
        <f>BDH("SEER US Equity","BS_SHAREHOLDER_EQY_ENDING_PERIOD","1993-06-18","2026-05-02","Per=Y","Days=T","Dir=V")</f>
        <v>0</v>
      </c>
      <c r="S2">
        <f>BDH("SEER US Equity","BS_ACCT_NOTE_RCV","1993-06-18","2026-05-02","Per=Y","Days=T","Dir=V")</f>
        <v>0</v>
      </c>
      <c r="U2">
        <f>BDH("SEER US Equity","BS_INVENTORIES","1993-06-18","2026-05-02","Per=Y","Days=T","Dir=V")</f>
        <v>0</v>
      </c>
      <c r="W2">
        <f>BDH("SEER US Equity","WORKING_CAPITAL","1993-06-18","2026-05-02","Per=Y","Days=T","Dir=V")</f>
        <v>0</v>
      </c>
      <c r="Y2">
        <f>BDH("SEER US Equity","SALES_REV_TURN","1993-06-18","2026-05-02","Per=Y","Days=T","Dir=V")</f>
        <v>0</v>
      </c>
      <c r="AA2">
        <f>BDH("SEER US Equity","EBIT","1993-06-18","2026-05-02","Per=Y","Days=T","Dir=V")</f>
        <v>0</v>
      </c>
      <c r="AC2">
        <f>BDH("SEER US Equity","EBITDA","1993-06-18","2026-05-02","Per=Y","Days=T","Dir=V")</f>
        <v>0</v>
      </c>
      <c r="AE2">
        <f>BDH("SEER US Equity","NET_INCOME","1993-06-18","2026-05-02","Per=Y","Days=T","Dir=V")</f>
        <v>0</v>
      </c>
      <c r="AG2">
        <f>BDH("SEER US Equity","IS_INT_EXPENSE","1993-06-18","2026-05-02","Per=Y","Days=T","Dir=V")</f>
        <v>0</v>
      </c>
      <c r="AI2">
        <f>BDH("SEER US Equity","IS_DEPR_EXP","1993-06-18","2026-05-02","Per=Y","Days=T","Dir=V")</f>
        <v>0</v>
      </c>
      <c r="AK2">
        <f>BDH("SEER US Equity","CF_CASH_FROM_OPER","1993-06-18","2026-05-02","Per=Y","Days=T","Dir=V")</f>
        <v>0</v>
      </c>
      <c r="AM2">
        <f>BDH("SEER US Equity","CAPITAL_EXPEND","1993-06-18","2026-05-02","Per=Y","Days=T","Dir=V")</f>
        <v>0</v>
      </c>
      <c r="AO2">
        <f>BDH("SEER US Equity","CF_FREE_CASH_FLOW","1993-06-18","2026-05-02","Per=Y","Days=T","Dir=V")</f>
        <v>0</v>
      </c>
      <c r="AQ2">
        <f>BDH("SEER US Equity","PX_LAST","1993-06-18","2026-05-02","Per=M","Days=T","Dir=V")</f>
        <v>0</v>
      </c>
      <c r="AS2">
        <f>BDH("SEER US Equity","CUR_MKT_CAP","1993-06-18","2026-05-02","Per=M","Days=T","Dir=V")</f>
        <v>0</v>
      </c>
      <c r="AU2">
        <f>BDH("SEER US Equity","EQY_SH_OUT","1993-06-18","2026-05-02","Per=M","Days=T","Dir=V")</f>
        <v>0</v>
      </c>
      <c r="AW2">
        <f>BDH("SEER US Equity","PX_VOLUME","1993-06-18","2026-05-02","Per=M","Days=T","Dir=V")</f>
        <v>0</v>
      </c>
      <c r="AY2">
        <f>BDH("SEER US Equity","TURNOVER","1993-06-18","2026-05-02","Per=M","Days=T","Dir=V")</f>
        <v>0</v>
      </c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BDH("SEG US Equity","BS_TOT_ASSET","1993-06-18","2026-05-02","Per=Y","Days=T","Dir=V")</f>
        <v>0</v>
      </c>
      <c r="C2">
        <f>BDH("SEG US Equity","BS_TOT_LIAB2","1993-06-18","2026-05-02","Per=Y","Days=T","Dir=V")</f>
        <v>0</v>
      </c>
      <c r="E2">
        <f>BDH("SEG US Equity","SHORT_AND_LONG_TERM_DEBT","1993-06-18","2026-05-02","Per=Y","Days=T","Dir=V")</f>
        <v>0</v>
      </c>
      <c r="G2">
        <f>BDH("SEG US Equity","BS_ST_BORROW","1993-06-18","2026-05-02","Per=Y","Days=T","Dir=V")</f>
        <v>0</v>
      </c>
      <c r="I2">
        <f>BDH("SEG US Equity","BS_LT_BORROW","1993-06-18","2026-05-02","Per=Y","Days=T","Dir=V")</f>
        <v>0</v>
      </c>
      <c r="K2">
        <f>BDH("SEG US Equity","BS_CASH_NEAR_CASH_ITEM","1993-06-18","2026-05-02","Per=Y","Days=T","Dir=V")</f>
        <v>0</v>
      </c>
      <c r="M2">
        <f>BDH("SEG US Equity","BS_CUR_ASSET_REPORT","1993-06-18","2026-05-02","Per=Y","Days=T","Dir=V")</f>
        <v>0</v>
      </c>
      <c r="O2">
        <f>BDH("SEG US Equity","BS_CUR_LIAB","1993-06-18","2026-05-02","Per=Y","Days=T","Dir=V")</f>
        <v>0</v>
      </c>
      <c r="Q2">
        <f>BDH("SEG US Equity","BS_SHAREHOLDER_EQY_ENDING_PERIOD","1993-06-18","2026-05-02","Per=Y","Days=T","Dir=V")</f>
        <v>0</v>
      </c>
      <c r="S2">
        <f>BDH("SEG US Equity","BS_ACCT_NOTE_RCV","1993-06-18","2026-05-02","Per=Y","Days=T","Dir=V")</f>
        <v>0</v>
      </c>
      <c r="U2">
        <f>BDH("SEG US Equity","BS_INVENTORIES","1993-06-18","2026-05-02","Per=Y","Days=T","Dir=V")</f>
        <v>0</v>
      </c>
      <c r="W2">
        <f>BDH("SEG US Equity","WORKING_CAPITAL","1993-06-18","2026-05-02","Per=Y","Days=T","Dir=V")</f>
        <v>0</v>
      </c>
      <c r="Y2">
        <f>BDH("SEG US Equity","SALES_REV_TURN","1993-06-18","2026-05-02","Per=Y","Days=T","Dir=V")</f>
        <v>0</v>
      </c>
      <c r="AA2">
        <f>BDH("SEG US Equity","EBIT","1993-06-18","2026-05-02","Per=Y","Days=T","Dir=V")</f>
        <v>0</v>
      </c>
      <c r="AC2">
        <f>BDH("SEG US Equity","EBITDA","1993-06-18","2026-05-02","Per=Y","Days=T","Dir=V")</f>
        <v>0</v>
      </c>
      <c r="AE2">
        <f>BDH("SEG US Equity","NET_INCOME","1993-06-18","2026-05-02","Per=Y","Days=T","Dir=V")</f>
        <v>0</v>
      </c>
      <c r="AG2">
        <f>BDH("SEG US Equity","IS_INT_EXPENSE","1993-06-18","2026-05-02","Per=Y","Days=T","Dir=V")</f>
        <v>0</v>
      </c>
      <c r="AI2">
        <f>BDH("SEG US Equity","IS_DEPR_EXP","1993-06-18","2026-05-02","Per=Y","Days=T","Dir=V")</f>
        <v>0</v>
      </c>
      <c r="AK2">
        <f>BDH("SEG US Equity","CF_CASH_FROM_OPER","1993-06-18","2026-05-02","Per=Y","Days=T","Dir=V")</f>
        <v>0</v>
      </c>
      <c r="AM2">
        <f>BDH("SEG US Equity","CAPITAL_EXPEND","1993-06-18","2026-05-02","Per=Y","Days=T","Dir=V")</f>
        <v>0</v>
      </c>
      <c r="AO2">
        <f>BDH("SEG US Equity","CF_FREE_CASH_FLOW","1993-06-18","2026-05-02","Per=Y","Days=T","Dir=V")</f>
        <v>0</v>
      </c>
      <c r="AQ2">
        <f>BDH("SEG US Equity","PX_LAST","1993-06-18","2026-05-02","Per=M","Days=T","Dir=V")</f>
        <v>0</v>
      </c>
      <c r="AS2">
        <f>BDH("SEG US Equity","CUR_MKT_CAP","1993-06-18","2026-05-02","Per=M","Days=T","Dir=V")</f>
        <v>0</v>
      </c>
      <c r="AU2">
        <f>BDH("SEG US Equity","EQY_SH_OUT","1993-06-18","2026-05-02","Per=M","Days=T","Dir=V")</f>
        <v>0</v>
      </c>
      <c r="AW2">
        <f>BDH("SEG US Equity","PX_VOLUME","1993-06-18","2026-05-02","Per=M","Days=T","Dir=V")</f>
        <v>0</v>
      </c>
      <c r="AY2">
        <f>BDH("SEG US Equity","TURNOVER","1993-06-18","2026-05-02","Per=M","Days=T","Dir=V")</f>
        <v>0</v>
      </c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BDH("SEGG US Equity","BS_TOT_ASSET","1993-06-18","2026-05-02","Per=Y","Days=T","Dir=V")</f>
        <v>0</v>
      </c>
      <c r="C2">
        <f>BDH("SEGG US Equity","BS_TOT_LIAB2","1993-06-18","2026-05-02","Per=Y","Days=T","Dir=V")</f>
        <v>0</v>
      </c>
      <c r="E2">
        <f>BDH("SEGG US Equity","SHORT_AND_LONG_TERM_DEBT","1993-06-18","2026-05-02","Per=Y","Days=T","Dir=V")</f>
        <v>0</v>
      </c>
      <c r="G2">
        <f>BDH("SEGG US Equity","BS_ST_BORROW","1993-06-18","2026-05-02","Per=Y","Days=T","Dir=V")</f>
        <v>0</v>
      </c>
      <c r="I2">
        <f>BDH("SEGG US Equity","BS_LT_BORROW","1993-06-18","2026-05-02","Per=Y","Days=T","Dir=V")</f>
        <v>0</v>
      </c>
      <c r="K2">
        <f>BDH("SEGG US Equity","BS_CASH_NEAR_CASH_ITEM","1993-06-18","2026-05-02","Per=Y","Days=T","Dir=V")</f>
        <v>0</v>
      </c>
      <c r="M2">
        <f>BDH("SEGG US Equity","BS_CUR_ASSET_REPORT","1993-06-18","2026-05-02","Per=Y","Days=T","Dir=V")</f>
        <v>0</v>
      </c>
      <c r="O2">
        <f>BDH("SEGG US Equity","BS_CUR_LIAB","1993-06-18","2026-05-02","Per=Y","Days=T","Dir=V")</f>
        <v>0</v>
      </c>
      <c r="Q2">
        <f>BDH("SEGG US Equity","BS_SHAREHOLDER_EQY_ENDING_PERIOD","1993-06-18","2026-05-02","Per=Y","Days=T","Dir=V")</f>
        <v>0</v>
      </c>
      <c r="S2">
        <f>BDH("SEGG US Equity","BS_ACCT_NOTE_RCV","1993-06-18","2026-05-02","Per=Y","Days=T","Dir=V")</f>
        <v>0</v>
      </c>
      <c r="U2">
        <f>BDH("SEGG US Equity","BS_INVENTORIES","1993-06-18","2026-05-02","Per=Y","Days=T","Dir=V")</f>
        <v>0</v>
      </c>
      <c r="W2">
        <f>BDH("SEGG US Equity","WORKING_CAPITAL","1993-06-18","2026-05-02","Per=Y","Days=T","Dir=V")</f>
        <v>0</v>
      </c>
      <c r="Y2">
        <f>BDH("SEGG US Equity","SALES_REV_TURN","1993-06-18","2026-05-02","Per=Y","Days=T","Dir=V")</f>
        <v>0</v>
      </c>
      <c r="AA2">
        <f>BDH("SEGG US Equity","EBIT","1993-06-18","2026-05-02","Per=Y","Days=T","Dir=V")</f>
        <v>0</v>
      </c>
      <c r="AC2">
        <f>BDH("SEGG US Equity","EBITDA","1993-06-18","2026-05-02","Per=Y","Days=T","Dir=V")</f>
        <v>0</v>
      </c>
      <c r="AE2">
        <f>BDH("SEGG US Equity","NET_INCOME","1993-06-18","2026-05-02","Per=Y","Days=T","Dir=V")</f>
        <v>0</v>
      </c>
      <c r="AG2">
        <f>BDH("SEGG US Equity","IS_INT_EXPENSE","1993-06-18","2026-05-02","Per=Y","Days=T","Dir=V")</f>
        <v>0</v>
      </c>
      <c r="AI2">
        <f>BDH("SEGG US Equity","IS_DEPR_EXP","1993-06-18","2026-05-02","Per=Y","Days=T","Dir=V")</f>
        <v>0</v>
      </c>
      <c r="AK2">
        <f>BDH("SEGG US Equity","CF_CASH_FROM_OPER","1993-06-18","2026-05-02","Per=Y","Days=T","Dir=V")</f>
        <v>0</v>
      </c>
      <c r="AM2">
        <f>BDH("SEGG US Equity","CAPITAL_EXPEND","1993-06-18","2026-05-02","Per=Y","Days=T","Dir=V")</f>
        <v>0</v>
      </c>
      <c r="AO2">
        <f>BDH("SEGG US Equity","CF_FREE_CASH_FLOW","1993-06-18","2026-05-02","Per=Y","Days=T","Dir=V")</f>
        <v>0</v>
      </c>
      <c r="AQ2">
        <f>BDH("SEGG US Equity","PX_LAST","1993-06-18","2026-05-02","Per=M","Days=T","Dir=V")</f>
        <v>0</v>
      </c>
      <c r="AS2">
        <f>BDH("SEGG US Equity","CUR_MKT_CAP","1993-06-18","2026-05-02","Per=M","Days=T","Dir=V")</f>
        <v>0</v>
      </c>
      <c r="AU2">
        <f>BDH("SEGG US Equity","EQY_SH_OUT","1993-06-18","2026-05-02","Per=M","Days=T","Dir=V")</f>
        <v>0</v>
      </c>
      <c r="AW2">
        <f>BDH("SEGG US Equity","PX_VOLUME","1993-06-18","2026-05-02","Per=M","Days=T","Dir=V")</f>
        <v>0</v>
      </c>
      <c r="AY2">
        <f>BDH("SEGG US Equity","TURNOVER","1993-06-18","2026-05-02","Per=M","Days=T","Dir=V")</f>
        <v>0</v>
      </c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BDH("SEI US Equity","BS_TOT_ASSET","1993-06-18","2026-05-02","Per=Y","Days=T","Dir=V")</f>
        <v>0</v>
      </c>
      <c r="C2">
        <f>BDH("SEI US Equity","BS_TOT_LIAB2","1993-06-18","2026-05-02","Per=Y","Days=T","Dir=V")</f>
        <v>0</v>
      </c>
      <c r="E2">
        <f>BDH("SEI US Equity","SHORT_AND_LONG_TERM_DEBT","1993-06-18","2026-05-02","Per=Y","Days=T","Dir=V")</f>
        <v>0</v>
      </c>
      <c r="G2">
        <f>BDH("SEI US Equity","BS_ST_BORROW","1993-06-18","2026-05-02","Per=Y","Days=T","Dir=V")</f>
        <v>0</v>
      </c>
      <c r="I2">
        <f>BDH("SEI US Equity","BS_LT_BORROW","1993-06-18","2026-05-02","Per=Y","Days=T","Dir=V")</f>
        <v>0</v>
      </c>
      <c r="K2">
        <f>BDH("SEI US Equity","BS_CASH_NEAR_CASH_ITEM","1993-06-18","2026-05-02","Per=Y","Days=T","Dir=V")</f>
        <v>0</v>
      </c>
      <c r="M2">
        <f>BDH("SEI US Equity","BS_CUR_ASSET_REPORT","1993-06-18","2026-05-02","Per=Y","Days=T","Dir=V")</f>
        <v>0</v>
      </c>
      <c r="O2">
        <f>BDH("SEI US Equity","BS_CUR_LIAB","1993-06-18","2026-05-02","Per=Y","Days=T","Dir=V")</f>
        <v>0</v>
      </c>
      <c r="Q2">
        <f>BDH("SEI US Equity","BS_SHAREHOLDER_EQY_ENDING_PERIOD","1993-06-18","2026-05-02","Per=Y","Days=T","Dir=V")</f>
        <v>0</v>
      </c>
      <c r="S2">
        <f>BDH("SEI US Equity","BS_ACCT_NOTE_RCV","1993-06-18","2026-05-02","Per=Y","Days=T","Dir=V")</f>
        <v>0</v>
      </c>
      <c r="U2">
        <f>BDH("SEI US Equity","BS_INVENTORIES","1993-06-18","2026-05-02","Per=Y","Days=T","Dir=V")</f>
        <v>0</v>
      </c>
      <c r="W2">
        <f>BDH("SEI US Equity","WORKING_CAPITAL","1993-06-18","2026-05-02","Per=Y","Days=T","Dir=V")</f>
        <v>0</v>
      </c>
      <c r="Y2">
        <f>BDH("SEI US Equity","SALES_REV_TURN","1993-06-18","2026-05-02","Per=Y","Days=T","Dir=V")</f>
        <v>0</v>
      </c>
      <c r="AA2">
        <f>BDH("SEI US Equity","EBIT","1993-06-18","2026-05-02","Per=Y","Days=T","Dir=V")</f>
        <v>0</v>
      </c>
      <c r="AC2">
        <f>BDH("SEI US Equity","EBITDA","1993-06-18","2026-05-02","Per=Y","Days=T","Dir=V")</f>
        <v>0</v>
      </c>
      <c r="AE2">
        <f>BDH("SEI US Equity","NET_INCOME","1993-06-18","2026-05-02","Per=Y","Days=T","Dir=V")</f>
        <v>0</v>
      </c>
      <c r="AG2">
        <f>BDH("SEI US Equity","IS_INT_EXPENSE","1993-06-18","2026-05-02","Per=Y","Days=T","Dir=V")</f>
        <v>0</v>
      </c>
      <c r="AI2">
        <f>BDH("SEI US Equity","IS_DEPR_EXP","1993-06-18","2026-05-02","Per=Y","Days=T","Dir=V")</f>
        <v>0</v>
      </c>
      <c r="AK2">
        <f>BDH("SEI US Equity","CF_CASH_FROM_OPER","1993-06-18","2026-05-02","Per=Y","Days=T","Dir=V")</f>
        <v>0</v>
      </c>
      <c r="AM2">
        <f>BDH("SEI US Equity","CAPITAL_EXPEND","1993-06-18","2026-05-02","Per=Y","Days=T","Dir=V")</f>
        <v>0</v>
      </c>
      <c r="AO2">
        <f>BDH("SEI US Equity","CF_FREE_CASH_FLOW","1993-06-18","2026-05-02","Per=Y","Days=T","Dir=V")</f>
        <v>0</v>
      </c>
      <c r="AQ2">
        <f>BDH("SEI US Equity","PX_LAST","1993-06-18","2026-05-02","Per=M","Days=T","Dir=V")</f>
        <v>0</v>
      </c>
      <c r="AS2">
        <f>BDH("SEI US Equity","CUR_MKT_CAP","1993-06-18","2026-05-02","Per=M","Days=T","Dir=V")</f>
        <v>0</v>
      </c>
      <c r="AU2">
        <f>BDH("SEI US Equity","EQY_SH_OUT","1993-06-18","2026-05-02","Per=M","Days=T","Dir=V")</f>
        <v>0</v>
      </c>
      <c r="AW2">
        <f>BDH("SEI US Equity","PX_VOLUME","1993-06-18","2026-05-02","Per=M","Days=T","Dir=V")</f>
        <v>0</v>
      </c>
      <c r="AY2">
        <f>BDH("SEI US Equity","TURNOVER","1993-06-18","2026-05-02","Per=M","Days=T","Dir=V")</f>
        <v>0</v>
      </c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BDH("SENEA US Equity","BS_TOT_ASSET","1993-06-18","2026-05-02","Per=Y","Days=T","Dir=V")</f>
        <v>0</v>
      </c>
      <c r="C2">
        <f>BDH("SENEA US Equity","BS_TOT_LIAB2","1993-06-18","2026-05-02","Per=Y","Days=T","Dir=V")</f>
        <v>0</v>
      </c>
      <c r="E2">
        <f>BDH("SENEA US Equity","SHORT_AND_LONG_TERM_DEBT","1993-06-18","2026-05-02","Per=Y","Days=T","Dir=V")</f>
        <v>0</v>
      </c>
      <c r="G2">
        <f>BDH("SENEA US Equity","BS_ST_BORROW","1993-06-18","2026-05-02","Per=Y","Days=T","Dir=V")</f>
        <v>0</v>
      </c>
      <c r="I2">
        <f>BDH("SENEA US Equity","BS_LT_BORROW","1993-06-18","2026-05-02","Per=Y","Days=T","Dir=V")</f>
        <v>0</v>
      </c>
      <c r="K2">
        <f>BDH("SENEA US Equity","BS_CASH_NEAR_CASH_ITEM","1993-06-18","2026-05-02","Per=Y","Days=T","Dir=V")</f>
        <v>0</v>
      </c>
      <c r="M2">
        <f>BDH("SENEA US Equity","BS_CUR_ASSET_REPORT","1993-06-18","2026-05-02","Per=Y","Days=T","Dir=V")</f>
        <v>0</v>
      </c>
      <c r="O2">
        <f>BDH("SENEA US Equity","BS_CUR_LIAB","1993-06-18","2026-05-02","Per=Y","Days=T","Dir=V")</f>
        <v>0</v>
      </c>
      <c r="Q2">
        <f>BDH("SENEA US Equity","BS_SHAREHOLDER_EQY_ENDING_PERIOD","1993-06-18","2026-05-02","Per=Y","Days=T","Dir=V")</f>
        <v>0</v>
      </c>
      <c r="S2">
        <f>BDH("SENEA US Equity","BS_ACCT_NOTE_RCV","1993-06-18","2026-05-02","Per=Y","Days=T","Dir=V")</f>
        <v>0</v>
      </c>
      <c r="U2">
        <f>BDH("SENEA US Equity","BS_INVENTORIES","1993-06-18","2026-05-02","Per=Y","Days=T","Dir=V")</f>
        <v>0</v>
      </c>
      <c r="W2">
        <f>BDH("SENEA US Equity","WORKING_CAPITAL","1993-06-18","2026-05-02","Per=Y","Days=T","Dir=V")</f>
        <v>0</v>
      </c>
      <c r="Y2">
        <f>BDH("SENEA US Equity","SALES_REV_TURN","1993-06-18","2026-05-02","Per=Y","Days=T","Dir=V")</f>
        <v>0</v>
      </c>
      <c r="AA2">
        <f>BDH("SENEA US Equity","EBIT","1993-06-18","2026-05-02","Per=Y","Days=T","Dir=V")</f>
        <v>0</v>
      </c>
      <c r="AC2">
        <f>BDH("SENEA US Equity","EBITDA","1993-06-18","2026-05-02","Per=Y","Days=T","Dir=V")</f>
        <v>0</v>
      </c>
      <c r="AE2">
        <f>BDH("SENEA US Equity","NET_INCOME","1993-06-18","2026-05-02","Per=Y","Days=T","Dir=V")</f>
        <v>0</v>
      </c>
      <c r="AG2">
        <f>BDH("SENEA US Equity","IS_INT_EXPENSE","1993-06-18","2026-05-02","Per=Y","Days=T","Dir=V")</f>
        <v>0</v>
      </c>
      <c r="AI2">
        <f>BDH("SENEA US Equity","IS_DEPR_EXP","1993-06-18","2026-05-02","Per=Y","Days=T","Dir=V")</f>
        <v>0</v>
      </c>
      <c r="AK2">
        <f>BDH("SENEA US Equity","CF_CASH_FROM_OPER","1993-06-18","2026-05-02","Per=Y","Days=T","Dir=V")</f>
        <v>0</v>
      </c>
      <c r="AM2">
        <f>BDH("SENEA US Equity","CAPITAL_EXPEND","1993-06-18","2026-05-02","Per=Y","Days=T","Dir=V")</f>
        <v>0</v>
      </c>
      <c r="AO2">
        <f>BDH("SENEA US Equity","CF_FREE_CASH_FLOW","1993-06-18","2026-05-02","Per=Y","Days=T","Dir=V")</f>
        <v>0</v>
      </c>
      <c r="AQ2">
        <f>BDH("SENEA US Equity","PX_LAST","1993-06-18","2026-05-02","Per=M","Days=T","Dir=V")</f>
        <v>0</v>
      </c>
      <c r="AS2">
        <f>BDH("SENEA US Equity","CUR_MKT_CAP","1993-06-18","2026-05-02","Per=M","Days=T","Dir=V")</f>
        <v>0</v>
      </c>
      <c r="AU2">
        <f>BDH("SENEA US Equity","EQY_SH_OUT","1993-06-18","2026-05-02","Per=M","Days=T","Dir=V")</f>
        <v>0</v>
      </c>
      <c r="AW2">
        <f>BDH("SENEA US Equity","PX_VOLUME","1993-06-18","2026-05-02","Per=M","Days=T","Dir=V")</f>
        <v>0</v>
      </c>
      <c r="AY2">
        <f>BDH("SENEA US Equity","TURNOVER","1993-06-18","2026-05-02","Per=M","Days=T","Dir=V")</f>
        <v>0</v>
      </c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BDH("SENEB US Equity","BS_TOT_ASSET","1993-06-18","2026-05-02","Per=Y","Days=T","Dir=V")</f>
        <v>0</v>
      </c>
      <c r="C2">
        <f>BDH("SENEB US Equity","BS_TOT_LIAB2","1993-06-18","2026-05-02","Per=Y","Days=T","Dir=V")</f>
        <v>0</v>
      </c>
      <c r="E2">
        <f>BDH("SENEB US Equity","SHORT_AND_LONG_TERM_DEBT","1993-06-18","2026-05-02","Per=Y","Days=T","Dir=V")</f>
        <v>0</v>
      </c>
      <c r="G2">
        <f>BDH("SENEB US Equity","BS_ST_BORROW","1993-06-18","2026-05-02","Per=Y","Days=T","Dir=V")</f>
        <v>0</v>
      </c>
      <c r="I2">
        <f>BDH("SENEB US Equity","BS_LT_BORROW","1993-06-18","2026-05-02","Per=Y","Days=T","Dir=V")</f>
        <v>0</v>
      </c>
      <c r="K2">
        <f>BDH("SENEB US Equity","BS_CASH_NEAR_CASH_ITEM","1993-06-18","2026-05-02","Per=Y","Days=T","Dir=V")</f>
        <v>0</v>
      </c>
      <c r="M2">
        <f>BDH("SENEB US Equity","BS_CUR_ASSET_REPORT","1993-06-18","2026-05-02","Per=Y","Days=T","Dir=V")</f>
        <v>0</v>
      </c>
      <c r="O2">
        <f>BDH("SENEB US Equity","BS_CUR_LIAB","1993-06-18","2026-05-02","Per=Y","Days=T","Dir=V")</f>
        <v>0</v>
      </c>
      <c r="Q2">
        <f>BDH("SENEB US Equity","BS_SHAREHOLDER_EQY_ENDING_PERIOD","1993-06-18","2026-05-02","Per=Y","Days=T","Dir=V")</f>
        <v>0</v>
      </c>
      <c r="S2">
        <f>BDH("SENEB US Equity","BS_ACCT_NOTE_RCV","1993-06-18","2026-05-02","Per=Y","Days=T","Dir=V")</f>
        <v>0</v>
      </c>
      <c r="U2">
        <f>BDH("SENEB US Equity","BS_INVENTORIES","1993-06-18","2026-05-02","Per=Y","Days=T","Dir=V")</f>
        <v>0</v>
      </c>
      <c r="W2">
        <f>BDH("SENEB US Equity","WORKING_CAPITAL","1993-06-18","2026-05-02","Per=Y","Days=T","Dir=V")</f>
        <v>0</v>
      </c>
      <c r="Y2">
        <f>BDH("SENEB US Equity","SALES_REV_TURN","1993-06-18","2026-05-02","Per=Y","Days=T","Dir=V")</f>
        <v>0</v>
      </c>
      <c r="AA2">
        <f>BDH("SENEB US Equity","EBIT","1993-06-18","2026-05-02","Per=Y","Days=T","Dir=V")</f>
        <v>0</v>
      </c>
      <c r="AC2">
        <f>BDH("SENEB US Equity","EBITDA","1993-06-18","2026-05-02","Per=Y","Days=T","Dir=V")</f>
        <v>0</v>
      </c>
      <c r="AE2">
        <f>BDH("SENEB US Equity","NET_INCOME","1993-06-18","2026-05-02","Per=Y","Days=T","Dir=V")</f>
        <v>0</v>
      </c>
      <c r="AG2">
        <f>BDH("SENEB US Equity","IS_INT_EXPENSE","1993-06-18","2026-05-02","Per=Y","Days=T","Dir=V")</f>
        <v>0</v>
      </c>
      <c r="AI2">
        <f>BDH("SENEB US Equity","IS_DEPR_EXP","1993-06-18","2026-05-02","Per=Y","Days=T","Dir=V")</f>
        <v>0</v>
      </c>
      <c r="AK2">
        <f>BDH("SENEB US Equity","CF_CASH_FROM_OPER","1993-06-18","2026-05-02","Per=Y","Days=T","Dir=V")</f>
        <v>0</v>
      </c>
      <c r="AM2">
        <f>BDH("SENEB US Equity","CAPITAL_EXPEND","1993-06-18","2026-05-02","Per=Y","Days=T","Dir=V")</f>
        <v>0</v>
      </c>
      <c r="AO2">
        <f>BDH("SENEB US Equity","CF_FREE_CASH_FLOW","1993-06-18","2026-05-02","Per=Y","Days=T","Dir=V")</f>
        <v>0</v>
      </c>
      <c r="AQ2">
        <f>BDH("SENEB US Equity","PX_LAST","1993-06-18","2026-05-02","Per=M","Days=T","Dir=V")</f>
        <v>0</v>
      </c>
      <c r="AS2">
        <f>BDH("SENEB US Equity","CUR_MKT_CAP","1993-06-18","2026-05-02","Per=M","Days=T","Dir=V")</f>
        <v>0</v>
      </c>
      <c r="AU2">
        <f>BDH("SENEB US Equity","EQY_SH_OUT","1993-06-18","2026-05-02","Per=M","Days=T","Dir=V")</f>
        <v>0</v>
      </c>
      <c r="AW2">
        <f>BDH("SENEB US Equity","PX_VOLUME","1993-06-18","2026-05-02","Per=M","Days=T","Dir=V")</f>
        <v>0</v>
      </c>
      <c r="AY2">
        <f>BDH("SENEB US Equity","TURNOVER","1993-06-18","2026-05-02","Per=M","Days=T","Dir=V")</f>
        <v>0</v>
      </c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BDH("SENS US Equity","BS_TOT_ASSET","1993-06-18","2026-05-02","Per=Y","Days=T","Dir=V")</f>
        <v>0</v>
      </c>
      <c r="C2">
        <f>BDH("SENS US Equity","BS_TOT_LIAB2","1993-06-18","2026-05-02","Per=Y","Days=T","Dir=V")</f>
        <v>0</v>
      </c>
      <c r="E2">
        <f>BDH("SENS US Equity","SHORT_AND_LONG_TERM_DEBT","1993-06-18","2026-05-02","Per=Y","Days=T","Dir=V")</f>
        <v>0</v>
      </c>
      <c r="G2">
        <f>BDH("SENS US Equity","BS_ST_BORROW","1993-06-18","2026-05-02","Per=Y","Days=T","Dir=V")</f>
        <v>0</v>
      </c>
      <c r="I2">
        <f>BDH("SENS US Equity","BS_LT_BORROW","1993-06-18","2026-05-02","Per=Y","Days=T","Dir=V")</f>
        <v>0</v>
      </c>
      <c r="K2">
        <f>BDH("SENS US Equity","BS_CASH_NEAR_CASH_ITEM","1993-06-18","2026-05-02","Per=Y","Days=T","Dir=V")</f>
        <v>0</v>
      </c>
      <c r="M2">
        <f>BDH("SENS US Equity","BS_CUR_ASSET_REPORT","1993-06-18","2026-05-02","Per=Y","Days=T","Dir=V")</f>
        <v>0</v>
      </c>
      <c r="O2">
        <f>BDH("SENS US Equity","BS_CUR_LIAB","1993-06-18","2026-05-02","Per=Y","Days=T","Dir=V")</f>
        <v>0</v>
      </c>
      <c r="Q2">
        <f>BDH("SENS US Equity","BS_SHAREHOLDER_EQY_ENDING_PERIOD","1993-06-18","2026-05-02","Per=Y","Days=T","Dir=V")</f>
        <v>0</v>
      </c>
      <c r="S2">
        <f>BDH("SENS US Equity","BS_ACCT_NOTE_RCV","1993-06-18","2026-05-02","Per=Y","Days=T","Dir=V")</f>
        <v>0</v>
      </c>
      <c r="U2">
        <f>BDH("SENS US Equity","BS_INVENTORIES","1993-06-18","2026-05-02","Per=Y","Days=T","Dir=V")</f>
        <v>0</v>
      </c>
      <c r="W2">
        <f>BDH("SENS US Equity","WORKING_CAPITAL","1993-06-18","2026-05-02","Per=Y","Days=T","Dir=V")</f>
        <v>0</v>
      </c>
      <c r="Y2">
        <f>BDH("SENS US Equity","SALES_REV_TURN","1993-06-18","2026-05-02","Per=Y","Days=T","Dir=V")</f>
        <v>0</v>
      </c>
      <c r="AA2">
        <f>BDH("SENS US Equity","EBIT","1993-06-18","2026-05-02","Per=Y","Days=T","Dir=V")</f>
        <v>0</v>
      </c>
      <c r="AC2">
        <f>BDH("SENS US Equity","EBITDA","1993-06-18","2026-05-02","Per=Y","Days=T","Dir=V")</f>
        <v>0</v>
      </c>
      <c r="AE2">
        <f>BDH("SENS US Equity","NET_INCOME","1993-06-18","2026-05-02","Per=Y","Days=T","Dir=V")</f>
        <v>0</v>
      </c>
      <c r="AG2">
        <f>BDH("SENS US Equity","IS_INT_EXPENSE","1993-06-18","2026-05-02","Per=Y","Days=T","Dir=V")</f>
        <v>0</v>
      </c>
      <c r="AI2">
        <f>BDH("SENS US Equity","IS_DEPR_EXP","1993-06-18","2026-05-02","Per=Y","Days=T","Dir=V")</f>
        <v>0</v>
      </c>
      <c r="AK2">
        <f>BDH("SENS US Equity","CF_CASH_FROM_OPER","1993-06-18","2026-05-02","Per=Y","Days=T","Dir=V")</f>
        <v>0</v>
      </c>
      <c r="AM2">
        <f>BDH("SENS US Equity","CAPITAL_EXPEND","1993-06-18","2026-05-02","Per=Y","Days=T","Dir=V")</f>
        <v>0</v>
      </c>
      <c r="AO2">
        <f>BDH("SENS US Equity","CF_FREE_CASH_FLOW","1993-06-18","2026-05-02","Per=Y","Days=T","Dir=V")</f>
        <v>0</v>
      </c>
      <c r="AQ2">
        <f>BDH("SENS US Equity","PX_LAST","1993-06-18","2026-05-02","Per=M","Days=T","Dir=V")</f>
        <v>0</v>
      </c>
      <c r="AS2">
        <f>BDH("SENS US Equity","CUR_MKT_CAP","1993-06-18","2026-05-02","Per=M","Days=T","Dir=V")</f>
        <v>0</v>
      </c>
      <c r="AU2">
        <f>BDH("SENS US Equity","EQY_SH_OUT","1993-06-18","2026-05-02","Per=M","Days=T","Dir=V")</f>
        <v>0</v>
      </c>
      <c r="AW2">
        <f>BDH("SENS US Equity","PX_VOLUME","1993-06-18","2026-05-02","Per=M","Days=T","Dir=V")</f>
        <v>0</v>
      </c>
      <c r="AY2">
        <f>BDH("SENS US Equity","TURNOVER","1993-06-18","2026-05-02","Per=M","Days=T","Dir=V")</f>
        <v>0</v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BDH("SEPN US Equity","BS_TOT_ASSET","1993-06-18","2026-05-02","Per=Y","Days=T","Dir=V")</f>
        <v>0</v>
      </c>
      <c r="C2">
        <f>BDH("SEPN US Equity","BS_TOT_LIAB2","1993-06-18","2026-05-02","Per=Y","Days=T","Dir=V")</f>
        <v>0</v>
      </c>
      <c r="E2">
        <f>BDH("SEPN US Equity","SHORT_AND_LONG_TERM_DEBT","1993-06-18","2026-05-02","Per=Y","Days=T","Dir=V")</f>
        <v>0</v>
      </c>
      <c r="G2">
        <f>BDH("SEPN US Equity","BS_ST_BORROW","1993-06-18","2026-05-02","Per=Y","Days=T","Dir=V")</f>
        <v>0</v>
      </c>
      <c r="I2">
        <f>BDH("SEPN US Equity","BS_LT_BORROW","1993-06-18","2026-05-02","Per=Y","Days=T","Dir=V")</f>
        <v>0</v>
      </c>
      <c r="K2">
        <f>BDH("SEPN US Equity","BS_CASH_NEAR_CASH_ITEM","1993-06-18","2026-05-02","Per=Y","Days=T","Dir=V")</f>
        <v>0</v>
      </c>
      <c r="M2">
        <f>BDH("SEPN US Equity","BS_CUR_ASSET_REPORT","1993-06-18","2026-05-02","Per=Y","Days=T","Dir=V")</f>
        <v>0</v>
      </c>
      <c r="O2">
        <f>BDH("SEPN US Equity","BS_CUR_LIAB","1993-06-18","2026-05-02","Per=Y","Days=T","Dir=V")</f>
        <v>0</v>
      </c>
      <c r="Q2">
        <f>BDH("SEPN US Equity","BS_SHAREHOLDER_EQY_ENDING_PERIOD","1993-06-18","2026-05-02","Per=Y","Days=T","Dir=V")</f>
        <v>0</v>
      </c>
      <c r="S2">
        <f>BDH("SEPN US Equity","BS_ACCT_NOTE_RCV","1993-06-18","2026-05-02","Per=Y","Days=T","Dir=V")</f>
        <v>0</v>
      </c>
      <c r="U2">
        <f>BDH("SEPN US Equity","BS_INVENTORIES","1993-06-18","2026-05-02","Per=Y","Days=T","Dir=V")</f>
        <v>0</v>
      </c>
      <c r="W2">
        <f>BDH("SEPN US Equity","WORKING_CAPITAL","1993-06-18","2026-05-02","Per=Y","Days=T","Dir=V")</f>
        <v>0</v>
      </c>
      <c r="Y2">
        <f>BDH("SEPN US Equity","SALES_REV_TURN","1993-06-18","2026-05-02","Per=Y","Days=T","Dir=V")</f>
        <v>0</v>
      </c>
      <c r="AA2">
        <f>BDH("SEPN US Equity","EBIT","1993-06-18","2026-05-02","Per=Y","Days=T","Dir=V")</f>
        <v>0</v>
      </c>
      <c r="AC2">
        <f>BDH("SEPN US Equity","EBITDA","1993-06-18","2026-05-02","Per=Y","Days=T","Dir=V")</f>
        <v>0</v>
      </c>
      <c r="AE2">
        <f>BDH("SEPN US Equity","NET_INCOME","1993-06-18","2026-05-02","Per=Y","Days=T","Dir=V")</f>
        <v>0</v>
      </c>
      <c r="AG2">
        <f>BDH("SEPN US Equity","IS_INT_EXPENSE","1993-06-18","2026-05-02","Per=Y","Days=T","Dir=V")</f>
        <v>0</v>
      </c>
      <c r="AI2">
        <f>BDH("SEPN US Equity","IS_DEPR_EXP","1993-06-18","2026-05-02","Per=Y","Days=T","Dir=V")</f>
        <v>0</v>
      </c>
      <c r="AK2">
        <f>BDH("SEPN US Equity","CF_CASH_FROM_OPER","1993-06-18","2026-05-02","Per=Y","Days=T","Dir=V")</f>
        <v>0</v>
      </c>
      <c r="AM2">
        <f>BDH("SEPN US Equity","CAPITAL_EXPEND","1993-06-18","2026-05-02","Per=Y","Days=T","Dir=V")</f>
        <v>0</v>
      </c>
      <c r="AO2">
        <f>BDH("SEPN US Equity","CF_FREE_CASH_FLOW","1993-06-18","2026-05-02","Per=Y","Days=T","Dir=V")</f>
        <v>0</v>
      </c>
      <c r="AQ2">
        <f>BDH("SEPN US Equity","PX_LAST","1993-06-18","2026-05-02","Per=M","Days=T","Dir=V")</f>
        <v>0</v>
      </c>
      <c r="AS2">
        <f>BDH("SEPN US Equity","CUR_MKT_CAP","1993-06-18","2026-05-02","Per=M","Days=T","Dir=V")</f>
        <v>0</v>
      </c>
      <c r="AU2">
        <f>BDH("SEPN US Equity","EQY_SH_OUT","1993-06-18","2026-05-02","Per=M","Days=T","Dir=V")</f>
        <v>0</v>
      </c>
      <c r="AW2">
        <f>BDH("SEPN US Equity","PX_VOLUME","1993-06-18","2026-05-02","Per=M","Days=T","Dir=V")</f>
        <v>0</v>
      </c>
      <c r="AY2">
        <f>BDH("SEPN US Equity","TURNOVER","1993-06-18","2026-05-02","Per=M","Days=T","Dir=V")</f>
        <v>0</v>
      </c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BDH("SER US Equity","BS_TOT_ASSET","1993-06-18","2026-05-02","Per=Y","Days=T","Dir=V")</f>
        <v>0</v>
      </c>
      <c r="C2">
        <f>BDH("SER US Equity","BS_TOT_LIAB2","1993-06-18","2026-05-02","Per=Y","Days=T","Dir=V")</f>
        <v>0</v>
      </c>
      <c r="E2">
        <f>BDH("SER US Equity","SHORT_AND_LONG_TERM_DEBT","1993-06-18","2026-05-02","Per=Y","Days=T","Dir=V")</f>
        <v>0</v>
      </c>
      <c r="G2">
        <f>BDH("SER US Equity","BS_ST_BORROW","1993-06-18","2026-05-02","Per=Y","Days=T","Dir=V")</f>
        <v>0</v>
      </c>
      <c r="I2">
        <f>BDH("SER US Equity","BS_LT_BORROW","1993-06-18","2026-05-02","Per=Y","Days=T","Dir=V")</f>
        <v>0</v>
      </c>
      <c r="K2">
        <f>BDH("SER US Equity","BS_CASH_NEAR_CASH_ITEM","1993-06-18","2026-05-02","Per=Y","Days=T","Dir=V")</f>
        <v>0</v>
      </c>
      <c r="M2">
        <f>BDH("SER US Equity","BS_CUR_ASSET_REPORT","1993-06-18","2026-05-02","Per=Y","Days=T","Dir=V")</f>
        <v>0</v>
      </c>
      <c r="O2">
        <f>BDH("SER US Equity","BS_CUR_LIAB","1993-06-18","2026-05-02","Per=Y","Days=T","Dir=V")</f>
        <v>0</v>
      </c>
      <c r="Q2">
        <f>BDH("SER US Equity","BS_SHAREHOLDER_EQY_ENDING_PERIOD","1993-06-18","2026-05-02","Per=Y","Days=T","Dir=V")</f>
        <v>0</v>
      </c>
      <c r="S2">
        <f>BDH("SER US Equity","BS_ACCT_NOTE_RCV","1993-06-18","2026-05-02","Per=Y","Days=T","Dir=V")</f>
        <v>0</v>
      </c>
      <c r="U2">
        <f>BDH("SER US Equity","BS_INVENTORIES","1993-06-18","2026-05-02","Per=Y","Days=T","Dir=V")</f>
        <v>0</v>
      </c>
      <c r="W2">
        <f>BDH("SER US Equity","WORKING_CAPITAL","1993-06-18","2026-05-02","Per=Y","Days=T","Dir=V")</f>
        <v>0</v>
      </c>
      <c r="Y2">
        <f>BDH("SER US Equity","SALES_REV_TURN","1993-06-18","2026-05-02","Per=Y","Days=T","Dir=V")</f>
        <v>0</v>
      </c>
      <c r="AA2">
        <f>BDH("SER US Equity","EBIT","1993-06-18","2026-05-02","Per=Y","Days=T","Dir=V")</f>
        <v>0</v>
      </c>
      <c r="AC2">
        <f>BDH("SER US Equity","EBITDA","1993-06-18","2026-05-02","Per=Y","Days=T","Dir=V")</f>
        <v>0</v>
      </c>
      <c r="AE2">
        <f>BDH("SER US Equity","NET_INCOME","1993-06-18","2026-05-02","Per=Y","Days=T","Dir=V")</f>
        <v>0</v>
      </c>
      <c r="AG2">
        <f>BDH("SER US Equity","IS_INT_EXPENSE","1993-06-18","2026-05-02","Per=Y","Days=T","Dir=V")</f>
        <v>0</v>
      </c>
      <c r="AI2">
        <f>BDH("SER US Equity","IS_DEPR_EXP","1993-06-18","2026-05-02","Per=Y","Days=T","Dir=V")</f>
        <v>0</v>
      </c>
      <c r="AK2">
        <f>BDH("SER US Equity","CF_CASH_FROM_OPER","1993-06-18","2026-05-02","Per=Y","Days=T","Dir=V")</f>
        <v>0</v>
      </c>
      <c r="AM2">
        <f>BDH("SER US Equity","CAPITAL_EXPEND","1993-06-18","2026-05-02","Per=Y","Days=T","Dir=V")</f>
        <v>0</v>
      </c>
      <c r="AO2">
        <f>BDH("SER US Equity","CF_FREE_CASH_FLOW","1993-06-18","2026-05-02","Per=Y","Days=T","Dir=V")</f>
        <v>0</v>
      </c>
      <c r="AQ2">
        <f>BDH("SER US Equity","PX_LAST","1993-06-18","2026-05-02","Per=M","Days=T","Dir=V")</f>
        <v>0</v>
      </c>
      <c r="AS2">
        <f>BDH("SER US Equity","CUR_MKT_CAP","1993-06-18","2026-05-02","Per=M","Days=T","Dir=V")</f>
        <v>0</v>
      </c>
      <c r="AU2">
        <f>BDH("SER US Equity","EQY_SH_OUT","1993-06-18","2026-05-02","Per=M","Days=T","Dir=V")</f>
        <v>0</v>
      </c>
      <c r="AW2">
        <f>BDH("SER US Equity","PX_VOLUME","1993-06-18","2026-05-02","Per=M","Days=T","Dir=V")</f>
        <v>0</v>
      </c>
      <c r="AY2">
        <f>BDH("SER US Equity","TURNOVER","1993-06-18","2026-05-02","Per=M","Days=T","Dir=V")</f>
        <v>0</v>
      </c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BDH("SERA US Equity","BS_TOT_ASSET","1993-06-18","2026-05-02","Per=Y","Days=T","Dir=V")</f>
        <v>0</v>
      </c>
      <c r="C2">
        <f>BDH("SERA US Equity","BS_TOT_LIAB2","1993-06-18","2026-05-02","Per=Y","Days=T","Dir=V")</f>
        <v>0</v>
      </c>
      <c r="E2">
        <f>BDH("SERA US Equity","SHORT_AND_LONG_TERM_DEBT","1993-06-18","2026-05-02","Per=Y","Days=T","Dir=V")</f>
        <v>0</v>
      </c>
      <c r="G2">
        <f>BDH("SERA US Equity","BS_ST_BORROW","1993-06-18","2026-05-02","Per=Y","Days=T","Dir=V")</f>
        <v>0</v>
      </c>
      <c r="I2">
        <f>BDH("SERA US Equity","BS_LT_BORROW","1993-06-18","2026-05-02","Per=Y","Days=T","Dir=V")</f>
        <v>0</v>
      </c>
      <c r="K2">
        <f>BDH("SERA US Equity","BS_CASH_NEAR_CASH_ITEM","1993-06-18","2026-05-02","Per=Y","Days=T","Dir=V")</f>
        <v>0</v>
      </c>
      <c r="M2">
        <f>BDH("SERA US Equity","BS_CUR_ASSET_REPORT","1993-06-18","2026-05-02","Per=Y","Days=T","Dir=V")</f>
        <v>0</v>
      </c>
      <c r="O2">
        <f>BDH("SERA US Equity","BS_CUR_LIAB","1993-06-18","2026-05-02","Per=Y","Days=T","Dir=V")</f>
        <v>0</v>
      </c>
      <c r="Q2">
        <f>BDH("SERA US Equity","BS_SHAREHOLDER_EQY_ENDING_PERIOD","1993-06-18","2026-05-02","Per=Y","Days=T","Dir=V")</f>
        <v>0</v>
      </c>
      <c r="S2">
        <f>BDH("SERA US Equity","BS_ACCT_NOTE_RCV","1993-06-18","2026-05-02","Per=Y","Days=T","Dir=V")</f>
        <v>0</v>
      </c>
      <c r="U2">
        <f>BDH("SERA US Equity","BS_INVENTORIES","1993-06-18","2026-05-02","Per=Y","Days=T","Dir=V")</f>
        <v>0</v>
      </c>
      <c r="W2">
        <f>BDH("SERA US Equity","WORKING_CAPITAL","1993-06-18","2026-05-02","Per=Y","Days=T","Dir=V")</f>
        <v>0</v>
      </c>
      <c r="Y2">
        <f>BDH("SERA US Equity","SALES_REV_TURN","1993-06-18","2026-05-02","Per=Y","Days=T","Dir=V")</f>
        <v>0</v>
      </c>
      <c r="AA2">
        <f>BDH("SERA US Equity","EBIT","1993-06-18","2026-05-02","Per=Y","Days=T","Dir=V")</f>
        <v>0</v>
      </c>
      <c r="AC2">
        <f>BDH("SERA US Equity","EBITDA","1993-06-18","2026-05-02","Per=Y","Days=T","Dir=V")</f>
        <v>0</v>
      </c>
      <c r="AE2">
        <f>BDH("SERA US Equity","NET_INCOME","1993-06-18","2026-05-02","Per=Y","Days=T","Dir=V")</f>
        <v>0</v>
      </c>
      <c r="AG2">
        <f>BDH("SERA US Equity","IS_INT_EXPENSE","1993-06-18","2026-05-02","Per=Y","Days=T","Dir=V")</f>
        <v>0</v>
      </c>
      <c r="AI2">
        <f>BDH("SERA US Equity","IS_DEPR_EXP","1993-06-18","2026-05-02","Per=Y","Days=T","Dir=V")</f>
        <v>0</v>
      </c>
      <c r="AK2">
        <f>BDH("SERA US Equity","CF_CASH_FROM_OPER","1993-06-18","2026-05-02","Per=Y","Days=T","Dir=V")</f>
        <v>0</v>
      </c>
      <c r="AM2">
        <f>BDH("SERA US Equity","CAPITAL_EXPEND","1993-06-18","2026-05-02","Per=Y","Days=T","Dir=V")</f>
        <v>0</v>
      </c>
      <c r="AO2">
        <f>BDH("SERA US Equity","CF_FREE_CASH_FLOW","1993-06-18","2026-05-02","Per=Y","Days=T","Dir=V")</f>
        <v>0</v>
      </c>
      <c r="AQ2">
        <f>BDH("SERA US Equity","PX_LAST","1993-06-18","2026-05-02","Per=M","Days=T","Dir=V")</f>
        <v>0</v>
      </c>
      <c r="AS2">
        <f>BDH("SERA US Equity","CUR_MKT_CAP","1993-06-18","2026-05-02","Per=M","Days=T","Dir=V")</f>
        <v>0</v>
      </c>
      <c r="AU2">
        <f>BDH("SERA US Equity","EQY_SH_OUT","1993-06-18","2026-05-02","Per=M","Days=T","Dir=V")</f>
        <v>0</v>
      </c>
      <c r="AW2">
        <f>BDH("SERA US Equity","PX_VOLUME","1993-06-18","2026-05-02","Per=M","Days=T","Dir=V")</f>
        <v>0</v>
      </c>
      <c r="AY2">
        <f>BDH("SERA US Equity","TURNOVER","1993-06-18","2026-05-02","Per=M","Days=T","Dir=V")</f>
        <v>0</v>
      </c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BDH("SERV US Equity","BS_TOT_ASSET","1993-06-18","2026-05-02","Per=Y","Days=T","Dir=V")</f>
        <v>0</v>
      </c>
      <c r="C2">
        <f>BDH("SERV US Equity","BS_TOT_LIAB2","1993-06-18","2026-05-02","Per=Y","Days=T","Dir=V")</f>
        <v>0</v>
      </c>
      <c r="E2">
        <f>BDH("SERV US Equity","SHORT_AND_LONG_TERM_DEBT","1993-06-18","2026-05-02","Per=Y","Days=T","Dir=V")</f>
        <v>0</v>
      </c>
      <c r="G2">
        <f>BDH("SERV US Equity","BS_ST_BORROW","1993-06-18","2026-05-02","Per=Y","Days=T","Dir=V")</f>
        <v>0</v>
      </c>
      <c r="I2">
        <f>BDH("SERV US Equity","BS_LT_BORROW","1993-06-18","2026-05-02","Per=Y","Days=T","Dir=V")</f>
        <v>0</v>
      </c>
      <c r="K2">
        <f>BDH("SERV US Equity","BS_CASH_NEAR_CASH_ITEM","1993-06-18","2026-05-02","Per=Y","Days=T","Dir=V")</f>
        <v>0</v>
      </c>
      <c r="M2">
        <f>BDH("SERV US Equity","BS_CUR_ASSET_REPORT","1993-06-18","2026-05-02","Per=Y","Days=T","Dir=V")</f>
        <v>0</v>
      </c>
      <c r="O2">
        <f>BDH("SERV US Equity","BS_CUR_LIAB","1993-06-18","2026-05-02","Per=Y","Days=T","Dir=V")</f>
        <v>0</v>
      </c>
      <c r="Q2">
        <f>BDH("SERV US Equity","BS_SHAREHOLDER_EQY_ENDING_PERIOD","1993-06-18","2026-05-02","Per=Y","Days=T","Dir=V")</f>
        <v>0</v>
      </c>
      <c r="S2">
        <f>BDH("SERV US Equity","BS_ACCT_NOTE_RCV","1993-06-18","2026-05-02","Per=Y","Days=T","Dir=V")</f>
        <v>0</v>
      </c>
      <c r="U2">
        <f>BDH("SERV US Equity","BS_INVENTORIES","1993-06-18","2026-05-02","Per=Y","Days=T","Dir=V")</f>
        <v>0</v>
      </c>
      <c r="W2">
        <f>BDH("SERV US Equity","WORKING_CAPITAL","1993-06-18","2026-05-02","Per=Y","Days=T","Dir=V")</f>
        <v>0</v>
      </c>
      <c r="Y2">
        <f>BDH("SERV US Equity","SALES_REV_TURN","1993-06-18","2026-05-02","Per=Y","Days=T","Dir=V")</f>
        <v>0</v>
      </c>
      <c r="AA2">
        <f>BDH("SERV US Equity","EBIT","1993-06-18","2026-05-02","Per=Y","Days=T","Dir=V")</f>
        <v>0</v>
      </c>
      <c r="AC2">
        <f>BDH("SERV US Equity","EBITDA","1993-06-18","2026-05-02","Per=Y","Days=T","Dir=V")</f>
        <v>0</v>
      </c>
      <c r="AE2">
        <f>BDH("SERV US Equity","NET_INCOME","1993-06-18","2026-05-02","Per=Y","Days=T","Dir=V")</f>
        <v>0</v>
      </c>
      <c r="AG2">
        <f>BDH("SERV US Equity","IS_INT_EXPENSE","1993-06-18","2026-05-02","Per=Y","Days=T","Dir=V")</f>
        <v>0</v>
      </c>
      <c r="AI2">
        <f>BDH("SERV US Equity","IS_DEPR_EXP","1993-06-18","2026-05-02","Per=Y","Days=T","Dir=V")</f>
        <v>0</v>
      </c>
      <c r="AK2">
        <f>BDH("SERV US Equity","CF_CASH_FROM_OPER","1993-06-18","2026-05-02","Per=Y","Days=T","Dir=V")</f>
        <v>0</v>
      </c>
      <c r="AM2">
        <f>BDH("SERV US Equity","CAPITAL_EXPEND","1993-06-18","2026-05-02","Per=Y","Days=T","Dir=V")</f>
        <v>0</v>
      </c>
      <c r="AO2">
        <f>BDH("SERV US Equity","CF_FREE_CASH_FLOW","1993-06-18","2026-05-02","Per=Y","Days=T","Dir=V")</f>
        <v>0</v>
      </c>
      <c r="AQ2">
        <f>BDH("SERV US Equity","PX_LAST","1993-06-18","2026-05-02","Per=M","Days=T","Dir=V")</f>
        <v>0</v>
      </c>
      <c r="AS2">
        <f>BDH("SERV US Equity","CUR_MKT_CAP","1993-06-18","2026-05-02","Per=M","Days=T","Dir=V")</f>
        <v>0</v>
      </c>
      <c r="AU2">
        <f>BDH("SERV US Equity","EQY_SH_OUT","1993-06-18","2026-05-02","Per=M","Days=T","Dir=V")</f>
        <v>0</v>
      </c>
      <c r="AW2">
        <f>BDH("SERV US Equity","PX_VOLUME","1993-06-18","2026-05-02","Per=M","Days=T","Dir=V")</f>
        <v>0</v>
      </c>
      <c r="AY2">
        <f>BDH("SERV US Equity","TURNOVER","1993-06-18","2026-05-02","Per=M","Days=T","Dir=V")</f>
        <v>0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BDH("SEV US Equity","BS_TOT_ASSET","1993-06-18","2026-05-02","Per=Y","Days=T","Dir=V")</f>
        <v>0</v>
      </c>
      <c r="C2">
        <f>BDH("SEV US Equity","BS_TOT_LIAB2","1993-06-18","2026-05-02","Per=Y","Days=T","Dir=V")</f>
        <v>0</v>
      </c>
      <c r="E2">
        <f>BDH("SEV US Equity","SHORT_AND_LONG_TERM_DEBT","1993-06-18","2026-05-02","Per=Y","Days=T","Dir=V")</f>
        <v>0</v>
      </c>
      <c r="G2">
        <f>BDH("SEV US Equity","BS_ST_BORROW","1993-06-18","2026-05-02","Per=Y","Days=T","Dir=V")</f>
        <v>0</v>
      </c>
      <c r="I2">
        <f>BDH("SEV US Equity","BS_LT_BORROW","1993-06-18","2026-05-02","Per=Y","Days=T","Dir=V")</f>
        <v>0</v>
      </c>
      <c r="K2">
        <f>BDH("SEV US Equity","BS_CASH_NEAR_CASH_ITEM","1993-06-18","2026-05-02","Per=Y","Days=T","Dir=V")</f>
        <v>0</v>
      </c>
      <c r="M2">
        <f>BDH("SEV US Equity","BS_CUR_ASSET_REPORT","1993-06-18","2026-05-02","Per=Y","Days=T","Dir=V")</f>
        <v>0</v>
      </c>
      <c r="O2">
        <f>BDH("SEV US Equity","BS_CUR_LIAB","1993-06-18","2026-05-02","Per=Y","Days=T","Dir=V")</f>
        <v>0</v>
      </c>
      <c r="Q2">
        <f>BDH("SEV US Equity","BS_SHAREHOLDER_EQY_ENDING_PERIOD","1993-06-18","2026-05-02","Per=Y","Days=T","Dir=V")</f>
        <v>0</v>
      </c>
      <c r="S2">
        <f>BDH("SEV US Equity","BS_ACCT_NOTE_RCV","1993-06-18","2026-05-02","Per=Y","Days=T","Dir=V")</f>
        <v>0</v>
      </c>
      <c r="U2">
        <f>BDH("SEV US Equity","BS_INVENTORIES","1993-06-18","2026-05-02","Per=Y","Days=T","Dir=V")</f>
        <v>0</v>
      </c>
      <c r="W2">
        <f>BDH("SEV US Equity","WORKING_CAPITAL","1993-06-18","2026-05-02","Per=Y","Days=T","Dir=V")</f>
        <v>0</v>
      </c>
      <c r="Y2">
        <f>BDH("SEV US Equity","SALES_REV_TURN","1993-06-18","2026-05-02","Per=Y","Days=T","Dir=V")</f>
        <v>0</v>
      </c>
      <c r="AA2">
        <f>BDH("SEV US Equity","EBIT","1993-06-18","2026-05-02","Per=Y","Days=T","Dir=V")</f>
        <v>0</v>
      </c>
      <c r="AC2">
        <f>BDH("SEV US Equity","EBITDA","1993-06-18","2026-05-02","Per=Y","Days=T","Dir=V")</f>
        <v>0</v>
      </c>
      <c r="AE2">
        <f>BDH("SEV US Equity","NET_INCOME","1993-06-18","2026-05-02","Per=Y","Days=T","Dir=V")</f>
        <v>0</v>
      </c>
      <c r="AG2">
        <f>BDH("SEV US Equity","IS_INT_EXPENSE","1993-06-18","2026-05-02","Per=Y","Days=T","Dir=V")</f>
        <v>0</v>
      </c>
      <c r="AI2">
        <f>BDH("SEV US Equity","IS_DEPR_EXP","1993-06-18","2026-05-02","Per=Y","Days=T","Dir=V")</f>
        <v>0</v>
      </c>
      <c r="AK2">
        <f>BDH("SEV US Equity","CF_CASH_FROM_OPER","1993-06-18","2026-05-02","Per=Y","Days=T","Dir=V")</f>
        <v>0</v>
      </c>
      <c r="AM2">
        <f>BDH("SEV US Equity","CAPITAL_EXPEND","1993-06-18","2026-05-02","Per=Y","Days=T","Dir=V")</f>
        <v>0</v>
      </c>
      <c r="AO2">
        <f>BDH("SEV US Equity","CF_FREE_CASH_FLOW","1993-06-18","2026-05-02","Per=Y","Days=T","Dir=V")</f>
        <v>0</v>
      </c>
      <c r="AQ2">
        <f>BDH("SEV US Equity","PX_LAST","1993-06-18","2026-05-02","Per=M","Days=T","Dir=V")</f>
        <v>0</v>
      </c>
      <c r="AS2">
        <f>BDH("SEV US Equity","CUR_MKT_CAP","1993-06-18","2026-05-02","Per=M","Days=T","Dir=V")</f>
        <v>0</v>
      </c>
      <c r="AU2">
        <f>BDH("SEV US Equity","EQY_SH_OUT","1993-06-18","2026-05-02","Per=M","Days=T","Dir=V")</f>
        <v>0</v>
      </c>
      <c r="AW2">
        <f>BDH("SEV US Equity","PX_VOLUME","1993-06-18","2026-05-02","Per=M","Days=T","Dir=V")</f>
        <v>0</v>
      </c>
      <c r="AY2">
        <f>BDH("SEV US Equity","TURNOVER","1993-06-18","2026-05-02","Per=M","Days=T","Dir=V")</f>
        <v>0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BDH("SFD US Equity","BS_TOT_ASSET","1993-06-18","2026-05-02","Per=Y","Days=T","Dir=V")</f>
        <v>0</v>
      </c>
      <c r="C2">
        <f>BDH("SFD US Equity","BS_TOT_LIAB2","1993-06-18","2026-05-02","Per=Y","Days=T","Dir=V")</f>
        <v>0</v>
      </c>
      <c r="E2">
        <f>BDH("SFD US Equity","SHORT_AND_LONG_TERM_DEBT","1993-06-18","2026-05-02","Per=Y","Days=T","Dir=V")</f>
        <v>0</v>
      </c>
      <c r="G2">
        <f>BDH("SFD US Equity","BS_ST_BORROW","1993-06-18","2026-05-02","Per=Y","Days=T","Dir=V")</f>
        <v>0</v>
      </c>
      <c r="I2">
        <f>BDH("SFD US Equity","BS_LT_BORROW","1993-06-18","2026-05-02","Per=Y","Days=T","Dir=V")</f>
        <v>0</v>
      </c>
      <c r="K2">
        <f>BDH("SFD US Equity","BS_CASH_NEAR_CASH_ITEM","1993-06-18","2026-05-02","Per=Y","Days=T","Dir=V")</f>
        <v>0</v>
      </c>
      <c r="M2">
        <f>BDH("SFD US Equity","BS_CUR_ASSET_REPORT","1993-06-18","2026-05-02","Per=Y","Days=T","Dir=V")</f>
        <v>0</v>
      </c>
      <c r="O2">
        <f>BDH("SFD US Equity","BS_CUR_LIAB","1993-06-18","2026-05-02","Per=Y","Days=T","Dir=V")</f>
        <v>0</v>
      </c>
      <c r="Q2">
        <f>BDH("SFD US Equity","BS_SHAREHOLDER_EQY_ENDING_PERIOD","1993-06-18","2026-05-02","Per=Y","Days=T","Dir=V")</f>
        <v>0</v>
      </c>
      <c r="S2">
        <f>BDH("SFD US Equity","BS_ACCT_NOTE_RCV","1993-06-18","2026-05-02","Per=Y","Days=T","Dir=V")</f>
        <v>0</v>
      </c>
      <c r="U2">
        <f>BDH("SFD US Equity","BS_INVENTORIES","1993-06-18","2026-05-02","Per=Y","Days=T","Dir=V")</f>
        <v>0</v>
      </c>
      <c r="W2">
        <f>BDH("SFD US Equity","WORKING_CAPITAL","1993-06-18","2026-05-02","Per=Y","Days=T","Dir=V")</f>
        <v>0</v>
      </c>
      <c r="Y2">
        <f>BDH("SFD US Equity","SALES_REV_TURN","1993-06-18","2026-05-02","Per=Y","Days=T","Dir=V")</f>
        <v>0</v>
      </c>
      <c r="AA2">
        <f>BDH("SFD US Equity","EBIT","1993-06-18","2026-05-02","Per=Y","Days=T","Dir=V")</f>
        <v>0</v>
      </c>
      <c r="AC2">
        <f>BDH("SFD US Equity","EBITDA","1993-06-18","2026-05-02","Per=Y","Days=T","Dir=V")</f>
        <v>0</v>
      </c>
      <c r="AE2">
        <f>BDH("SFD US Equity","NET_INCOME","1993-06-18","2026-05-02","Per=Y","Days=T","Dir=V")</f>
        <v>0</v>
      </c>
      <c r="AG2">
        <f>BDH("SFD US Equity","IS_INT_EXPENSE","1993-06-18","2026-05-02","Per=Y","Days=T","Dir=V")</f>
        <v>0</v>
      </c>
      <c r="AI2">
        <f>BDH("SFD US Equity","IS_DEPR_EXP","1993-06-18","2026-05-02","Per=Y","Days=T","Dir=V")</f>
        <v>0</v>
      </c>
      <c r="AK2">
        <f>BDH("SFD US Equity","CF_CASH_FROM_OPER","1993-06-18","2026-05-02","Per=Y","Days=T","Dir=V")</f>
        <v>0</v>
      </c>
      <c r="AM2">
        <f>BDH("SFD US Equity","CAPITAL_EXPEND","1993-06-18","2026-05-02","Per=Y","Days=T","Dir=V")</f>
        <v>0</v>
      </c>
      <c r="AO2">
        <f>BDH("SFD US Equity","CF_FREE_CASH_FLOW","1993-06-18","2026-05-02","Per=Y","Days=T","Dir=V")</f>
        <v>0</v>
      </c>
      <c r="AQ2">
        <f>BDH("SFD US Equity","PX_LAST","1993-06-18","2026-05-02","Per=M","Days=T","Dir=V")</f>
        <v>0</v>
      </c>
      <c r="AS2">
        <f>BDH("SFD US Equity","CUR_MKT_CAP","1993-06-18","2026-05-02","Per=M","Days=T","Dir=V")</f>
        <v>0</v>
      </c>
      <c r="AU2">
        <f>BDH("SFD US Equity","EQY_SH_OUT","1993-06-18","2026-05-02","Per=M","Days=T","Dir=V")</f>
        <v>0</v>
      </c>
      <c r="AW2">
        <f>BDH("SFD US Equity","PX_VOLUME","1993-06-18","2026-05-02","Per=M","Days=T","Dir=V")</f>
        <v>0</v>
      </c>
      <c r="AY2">
        <f>BDH("SFD US Equity","TURNOVER","1993-06-18","2026-05-02","Per=M","Days=T","Dir=V")</f>
        <v>0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BDH("SFIX US Equity","BS_TOT_ASSET","1993-06-18","2026-05-02","Per=Y","Days=T","Dir=V")</f>
        <v>0</v>
      </c>
      <c r="C2">
        <f>BDH("SFIX US Equity","BS_TOT_LIAB2","1993-06-18","2026-05-02","Per=Y","Days=T","Dir=V")</f>
        <v>0</v>
      </c>
      <c r="E2">
        <f>BDH("SFIX US Equity","SHORT_AND_LONG_TERM_DEBT","1993-06-18","2026-05-02","Per=Y","Days=T","Dir=V")</f>
        <v>0</v>
      </c>
      <c r="G2">
        <f>BDH("SFIX US Equity","BS_ST_BORROW","1993-06-18","2026-05-02","Per=Y","Days=T","Dir=V")</f>
        <v>0</v>
      </c>
      <c r="I2">
        <f>BDH("SFIX US Equity","BS_LT_BORROW","1993-06-18","2026-05-02","Per=Y","Days=T","Dir=V")</f>
        <v>0</v>
      </c>
      <c r="K2">
        <f>BDH("SFIX US Equity","BS_CASH_NEAR_CASH_ITEM","1993-06-18","2026-05-02","Per=Y","Days=T","Dir=V")</f>
        <v>0</v>
      </c>
      <c r="M2">
        <f>BDH("SFIX US Equity","BS_CUR_ASSET_REPORT","1993-06-18","2026-05-02","Per=Y","Days=T","Dir=V")</f>
        <v>0</v>
      </c>
      <c r="O2">
        <f>BDH("SFIX US Equity","BS_CUR_LIAB","1993-06-18","2026-05-02","Per=Y","Days=T","Dir=V")</f>
        <v>0</v>
      </c>
      <c r="Q2">
        <f>BDH("SFIX US Equity","BS_SHAREHOLDER_EQY_ENDING_PERIOD","1993-06-18","2026-05-02","Per=Y","Days=T","Dir=V")</f>
        <v>0</v>
      </c>
      <c r="S2">
        <f>BDH("SFIX US Equity","BS_ACCT_NOTE_RCV","1993-06-18","2026-05-02","Per=Y","Days=T","Dir=V")</f>
        <v>0</v>
      </c>
      <c r="U2">
        <f>BDH("SFIX US Equity","BS_INVENTORIES","1993-06-18","2026-05-02","Per=Y","Days=T","Dir=V")</f>
        <v>0</v>
      </c>
      <c r="W2">
        <f>BDH("SFIX US Equity","WORKING_CAPITAL","1993-06-18","2026-05-02","Per=Y","Days=T","Dir=V")</f>
        <v>0</v>
      </c>
      <c r="Y2">
        <f>BDH("SFIX US Equity","SALES_REV_TURN","1993-06-18","2026-05-02","Per=Y","Days=T","Dir=V")</f>
        <v>0</v>
      </c>
      <c r="AA2">
        <f>BDH("SFIX US Equity","EBIT","1993-06-18","2026-05-02","Per=Y","Days=T","Dir=V")</f>
        <v>0</v>
      </c>
      <c r="AC2">
        <f>BDH("SFIX US Equity","EBITDA","1993-06-18","2026-05-02","Per=Y","Days=T","Dir=V")</f>
        <v>0</v>
      </c>
      <c r="AE2">
        <f>BDH("SFIX US Equity","NET_INCOME","1993-06-18","2026-05-02","Per=Y","Days=T","Dir=V")</f>
        <v>0</v>
      </c>
      <c r="AG2">
        <f>BDH("SFIX US Equity","IS_INT_EXPENSE","1993-06-18","2026-05-02","Per=Y","Days=T","Dir=V")</f>
        <v>0</v>
      </c>
      <c r="AI2">
        <f>BDH("SFIX US Equity","IS_DEPR_EXP","1993-06-18","2026-05-02","Per=Y","Days=T","Dir=V")</f>
        <v>0</v>
      </c>
      <c r="AK2">
        <f>BDH("SFIX US Equity","CF_CASH_FROM_OPER","1993-06-18","2026-05-02","Per=Y","Days=T","Dir=V")</f>
        <v>0</v>
      </c>
      <c r="AM2">
        <f>BDH("SFIX US Equity","CAPITAL_EXPEND","1993-06-18","2026-05-02","Per=Y","Days=T","Dir=V")</f>
        <v>0</v>
      </c>
      <c r="AO2">
        <f>BDH("SFIX US Equity","CF_FREE_CASH_FLOW","1993-06-18","2026-05-02","Per=Y","Days=T","Dir=V")</f>
        <v>0</v>
      </c>
      <c r="AQ2">
        <f>BDH("SFIX US Equity","PX_LAST","1993-06-18","2026-05-02","Per=M","Days=T","Dir=V")</f>
        <v>0</v>
      </c>
      <c r="AS2">
        <f>BDH("SFIX US Equity","CUR_MKT_CAP","1993-06-18","2026-05-02","Per=M","Days=T","Dir=V")</f>
        <v>0</v>
      </c>
      <c r="AU2">
        <f>BDH("SFIX US Equity","EQY_SH_OUT","1993-06-18","2026-05-02","Per=M","Days=T","Dir=V")</f>
        <v>0</v>
      </c>
      <c r="AW2">
        <f>BDH("SFIX US Equity","PX_VOLUME","1993-06-18","2026-05-02","Per=M","Days=T","Dir=V")</f>
        <v>0</v>
      </c>
      <c r="AY2">
        <f>BDH("SFIX US Equity","TURNOVER","1993-06-18","2026-05-02","Per=M","Days=T","Dir=V")</f>
        <v>0</v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BDH("SFM US Equity","BS_TOT_ASSET","1993-06-18","2026-05-02","Per=Y","Days=T","Dir=V")</f>
        <v>0</v>
      </c>
      <c r="C2">
        <f>BDH("SFM US Equity","BS_TOT_LIAB2","1993-06-18","2026-05-02","Per=Y","Days=T","Dir=V")</f>
        <v>0</v>
      </c>
      <c r="E2">
        <f>BDH("SFM US Equity","SHORT_AND_LONG_TERM_DEBT","1993-06-18","2026-05-02","Per=Y","Days=T","Dir=V")</f>
        <v>0</v>
      </c>
      <c r="G2">
        <f>BDH("SFM US Equity","BS_ST_BORROW","1993-06-18","2026-05-02","Per=Y","Days=T","Dir=V")</f>
        <v>0</v>
      </c>
      <c r="I2">
        <f>BDH("SFM US Equity","BS_LT_BORROW","1993-06-18","2026-05-02","Per=Y","Days=T","Dir=V")</f>
        <v>0</v>
      </c>
      <c r="K2">
        <f>BDH("SFM US Equity","BS_CASH_NEAR_CASH_ITEM","1993-06-18","2026-05-02","Per=Y","Days=T","Dir=V")</f>
        <v>0</v>
      </c>
      <c r="M2">
        <f>BDH("SFM US Equity","BS_CUR_ASSET_REPORT","1993-06-18","2026-05-02","Per=Y","Days=T","Dir=V")</f>
        <v>0</v>
      </c>
      <c r="O2">
        <f>BDH("SFM US Equity","BS_CUR_LIAB","1993-06-18","2026-05-02","Per=Y","Days=T","Dir=V")</f>
        <v>0</v>
      </c>
      <c r="Q2">
        <f>BDH("SFM US Equity","BS_SHAREHOLDER_EQY_ENDING_PERIOD","1993-06-18","2026-05-02","Per=Y","Days=T","Dir=V")</f>
        <v>0</v>
      </c>
      <c r="S2">
        <f>BDH("SFM US Equity","BS_ACCT_NOTE_RCV","1993-06-18","2026-05-02","Per=Y","Days=T","Dir=V")</f>
        <v>0</v>
      </c>
      <c r="U2">
        <f>BDH("SFM US Equity","BS_INVENTORIES","1993-06-18","2026-05-02","Per=Y","Days=T","Dir=V")</f>
        <v>0</v>
      </c>
      <c r="W2">
        <f>BDH("SFM US Equity","WORKING_CAPITAL","1993-06-18","2026-05-02","Per=Y","Days=T","Dir=V")</f>
        <v>0</v>
      </c>
      <c r="Y2">
        <f>BDH("SFM US Equity","SALES_REV_TURN","1993-06-18","2026-05-02","Per=Y","Days=T","Dir=V")</f>
        <v>0</v>
      </c>
      <c r="AA2">
        <f>BDH("SFM US Equity","EBIT","1993-06-18","2026-05-02","Per=Y","Days=T","Dir=V")</f>
        <v>0</v>
      </c>
      <c r="AC2">
        <f>BDH("SFM US Equity","EBITDA","1993-06-18","2026-05-02","Per=Y","Days=T","Dir=V")</f>
        <v>0</v>
      </c>
      <c r="AE2">
        <f>BDH("SFM US Equity","NET_INCOME","1993-06-18","2026-05-02","Per=Y","Days=T","Dir=V")</f>
        <v>0</v>
      </c>
      <c r="AG2">
        <f>BDH("SFM US Equity","IS_INT_EXPENSE","1993-06-18","2026-05-02","Per=Y","Days=T","Dir=V")</f>
        <v>0</v>
      </c>
      <c r="AI2">
        <f>BDH("SFM US Equity","IS_DEPR_EXP","1993-06-18","2026-05-02","Per=Y","Days=T","Dir=V")</f>
        <v>0</v>
      </c>
      <c r="AK2">
        <f>BDH("SFM US Equity","CF_CASH_FROM_OPER","1993-06-18","2026-05-02","Per=Y","Days=T","Dir=V")</f>
        <v>0</v>
      </c>
      <c r="AM2">
        <f>BDH("SFM US Equity","CAPITAL_EXPEND","1993-06-18","2026-05-02","Per=Y","Days=T","Dir=V")</f>
        <v>0</v>
      </c>
      <c r="AO2">
        <f>BDH("SFM US Equity","CF_FREE_CASH_FLOW","1993-06-18","2026-05-02","Per=Y","Days=T","Dir=V")</f>
        <v>0</v>
      </c>
      <c r="AQ2">
        <f>BDH("SFM US Equity","PX_LAST","1993-06-18","2026-05-02","Per=M","Days=T","Dir=V")</f>
        <v>0</v>
      </c>
      <c r="AS2">
        <f>BDH("SFM US Equity","CUR_MKT_CAP","1993-06-18","2026-05-02","Per=M","Days=T","Dir=V")</f>
        <v>0</v>
      </c>
      <c r="AU2">
        <f>BDH("SFM US Equity","EQY_SH_OUT","1993-06-18","2026-05-02","Per=M","Days=T","Dir=V")</f>
        <v>0</v>
      </c>
      <c r="AW2">
        <f>BDH("SFM US Equity","PX_VOLUME","1993-06-18","2026-05-02","Per=M","Days=T","Dir=V")</f>
        <v>0</v>
      </c>
      <c r="AY2">
        <f>BDH("SFM US Equity","TURNOVER","1993-06-18","2026-05-02","Per=M","Days=T","Dir=V")</f>
        <v>0</v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 US Equity","BS_TOT_ASSET","1993-06-18","2026-05-02","Per=Y","Days=T","Dir=V")</f>
        <v>0</v>
      </c>
      <c r="C2">
        <f>BDH("SG US Equity","BS_TOT_LIAB2","1993-06-18","2026-05-02","Per=Y","Days=T","Dir=V")</f>
        <v>0</v>
      </c>
      <c r="E2">
        <f>BDH("SG US Equity","SHORT_AND_LONG_TERM_DEBT","1993-06-18","2026-05-02","Per=Y","Days=T","Dir=V")</f>
        <v>0</v>
      </c>
      <c r="G2">
        <f>BDH("SG US Equity","BS_ST_BORROW","1993-06-18","2026-05-02","Per=Y","Days=T","Dir=V")</f>
        <v>0</v>
      </c>
      <c r="I2">
        <f>BDH("SG US Equity","BS_LT_BORROW","1993-06-18","2026-05-02","Per=Y","Days=T","Dir=V")</f>
        <v>0</v>
      </c>
      <c r="K2">
        <f>BDH("SG US Equity","BS_CASH_NEAR_CASH_ITEM","1993-06-18","2026-05-02","Per=Y","Days=T","Dir=V")</f>
        <v>0</v>
      </c>
      <c r="M2">
        <f>BDH("SG US Equity","BS_CUR_ASSET_REPORT","1993-06-18","2026-05-02","Per=Y","Days=T","Dir=V")</f>
        <v>0</v>
      </c>
      <c r="O2">
        <f>BDH("SG US Equity","BS_CUR_LIAB","1993-06-18","2026-05-02","Per=Y","Days=T","Dir=V")</f>
        <v>0</v>
      </c>
      <c r="Q2">
        <f>BDH("SG US Equity","BS_SHAREHOLDER_EQY_ENDING_PERIOD","1993-06-18","2026-05-02","Per=Y","Days=T","Dir=V")</f>
        <v>0</v>
      </c>
      <c r="S2">
        <f>BDH("SG US Equity","BS_ACCT_NOTE_RCV","1993-06-18","2026-05-02","Per=Y","Days=T","Dir=V")</f>
        <v>0</v>
      </c>
      <c r="U2">
        <f>BDH("SG US Equity","BS_INVENTORIES","1993-06-18","2026-05-02","Per=Y","Days=T","Dir=V")</f>
        <v>0</v>
      </c>
      <c r="W2">
        <f>BDH("SG US Equity","WORKING_CAPITAL","1993-06-18","2026-05-02","Per=Y","Days=T","Dir=V")</f>
        <v>0</v>
      </c>
      <c r="Y2">
        <f>BDH("SG US Equity","SALES_REV_TURN","1993-06-18","2026-05-02","Per=Y","Days=T","Dir=V")</f>
        <v>0</v>
      </c>
      <c r="AA2">
        <f>BDH("SG US Equity","EBIT","1993-06-18","2026-05-02","Per=Y","Days=T","Dir=V")</f>
        <v>0</v>
      </c>
      <c r="AC2">
        <f>BDH("SG US Equity","EBITDA","1993-06-18","2026-05-02","Per=Y","Days=T","Dir=V")</f>
        <v>0</v>
      </c>
      <c r="AE2">
        <f>BDH("SG US Equity","NET_INCOME","1993-06-18","2026-05-02","Per=Y","Days=T","Dir=V")</f>
        <v>0</v>
      </c>
      <c r="AG2">
        <f>BDH("SG US Equity","IS_INT_EXPENSE","1993-06-18","2026-05-02","Per=Y","Days=T","Dir=V")</f>
        <v>0</v>
      </c>
      <c r="AI2">
        <f>BDH("SG US Equity","IS_DEPR_EXP","1993-06-18","2026-05-02","Per=Y","Days=T","Dir=V")</f>
        <v>0</v>
      </c>
      <c r="AK2">
        <f>BDH("SG US Equity","CF_CASH_FROM_OPER","1993-06-18","2026-05-02","Per=Y","Days=T","Dir=V")</f>
        <v>0</v>
      </c>
      <c r="AM2">
        <f>BDH("SG US Equity","CAPITAL_EXPEND","1993-06-18","2026-05-02","Per=Y","Days=T","Dir=V")</f>
        <v>0</v>
      </c>
      <c r="AO2">
        <f>BDH("SG US Equity","CF_FREE_CASH_FLOW","1993-06-18","2026-05-02","Per=Y","Days=T","Dir=V")</f>
        <v>0</v>
      </c>
      <c r="AQ2">
        <f>BDH("SG US Equity","PX_LAST","1993-06-18","2026-05-02","Per=M","Days=T","Dir=V")</f>
        <v>0</v>
      </c>
      <c r="AS2">
        <f>BDH("SG US Equity","CUR_MKT_CAP","1993-06-18","2026-05-02","Per=M","Days=T","Dir=V")</f>
        <v>0</v>
      </c>
      <c r="AU2">
        <f>BDH("SG US Equity","EQY_SH_OUT","1993-06-18","2026-05-02","Per=M","Days=T","Dir=V")</f>
        <v>0</v>
      </c>
      <c r="AW2">
        <f>BDH("SG US Equity","PX_VOLUME","1993-06-18","2026-05-02","Per=M","Days=T","Dir=V")</f>
        <v>0</v>
      </c>
      <c r="AY2">
        <f>BDH("SG US Equity","TURNOVER","1993-06-18","2026-05-02","Per=M","Days=T","Dir=V")</f>
        <v>0</v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BDH("SGA US Equity","BS_TOT_ASSET","1993-06-18","2026-05-02","Per=Y","Days=T","Dir=V")</f>
        <v>0</v>
      </c>
      <c r="C2">
        <f>BDH("SGA US Equity","BS_TOT_LIAB2","1993-06-18","2026-05-02","Per=Y","Days=T","Dir=V")</f>
        <v>0</v>
      </c>
      <c r="E2">
        <f>BDH("SGA US Equity","SHORT_AND_LONG_TERM_DEBT","1993-06-18","2026-05-02","Per=Y","Days=T","Dir=V")</f>
        <v>0</v>
      </c>
      <c r="G2">
        <f>BDH("SGA US Equity","BS_ST_BORROW","1993-06-18","2026-05-02","Per=Y","Days=T","Dir=V")</f>
        <v>0</v>
      </c>
      <c r="I2">
        <f>BDH("SGA US Equity","BS_LT_BORROW","1993-06-18","2026-05-02","Per=Y","Days=T","Dir=V")</f>
        <v>0</v>
      </c>
      <c r="K2">
        <f>BDH("SGA US Equity","BS_CASH_NEAR_CASH_ITEM","1993-06-18","2026-05-02","Per=Y","Days=T","Dir=V")</f>
        <v>0</v>
      </c>
      <c r="M2">
        <f>BDH("SGA US Equity","BS_CUR_ASSET_REPORT","1993-06-18","2026-05-02","Per=Y","Days=T","Dir=V")</f>
        <v>0</v>
      </c>
      <c r="O2">
        <f>BDH("SGA US Equity","BS_CUR_LIAB","1993-06-18","2026-05-02","Per=Y","Days=T","Dir=V")</f>
        <v>0</v>
      </c>
      <c r="Q2">
        <f>BDH("SGA US Equity","BS_SHAREHOLDER_EQY_ENDING_PERIOD","1993-06-18","2026-05-02","Per=Y","Days=T","Dir=V")</f>
        <v>0</v>
      </c>
      <c r="S2">
        <f>BDH("SGA US Equity","BS_ACCT_NOTE_RCV","1993-06-18","2026-05-02","Per=Y","Days=T","Dir=V")</f>
        <v>0</v>
      </c>
      <c r="U2">
        <f>BDH("SGA US Equity","BS_INVENTORIES","1993-06-18","2026-05-02","Per=Y","Days=T","Dir=V")</f>
        <v>0</v>
      </c>
      <c r="W2">
        <f>BDH("SGA US Equity","WORKING_CAPITAL","1993-06-18","2026-05-02","Per=Y","Days=T","Dir=V")</f>
        <v>0</v>
      </c>
      <c r="Y2">
        <f>BDH("SGA US Equity","SALES_REV_TURN","1993-06-18","2026-05-02","Per=Y","Days=T","Dir=V")</f>
        <v>0</v>
      </c>
      <c r="AA2">
        <f>BDH("SGA US Equity","EBIT","1993-06-18","2026-05-02","Per=Y","Days=T","Dir=V")</f>
        <v>0</v>
      </c>
      <c r="AC2">
        <f>BDH("SGA US Equity","EBITDA","1993-06-18","2026-05-02","Per=Y","Days=T","Dir=V")</f>
        <v>0</v>
      </c>
      <c r="AE2">
        <f>BDH("SGA US Equity","NET_INCOME","1993-06-18","2026-05-02","Per=Y","Days=T","Dir=V")</f>
        <v>0</v>
      </c>
      <c r="AG2">
        <f>BDH("SGA US Equity","IS_INT_EXPENSE","1993-06-18","2026-05-02","Per=Y","Days=T","Dir=V")</f>
        <v>0</v>
      </c>
      <c r="AI2">
        <f>BDH("SGA US Equity","IS_DEPR_EXP","1993-06-18","2026-05-02","Per=Y","Days=T","Dir=V")</f>
        <v>0</v>
      </c>
      <c r="AK2">
        <f>BDH("SGA US Equity","CF_CASH_FROM_OPER","1993-06-18","2026-05-02","Per=Y","Days=T","Dir=V")</f>
        <v>0</v>
      </c>
      <c r="AM2">
        <f>BDH("SGA US Equity","CAPITAL_EXPEND","1993-06-18","2026-05-02","Per=Y","Days=T","Dir=V")</f>
        <v>0</v>
      </c>
      <c r="AO2">
        <f>BDH("SGA US Equity","CF_FREE_CASH_FLOW","1993-06-18","2026-05-02","Per=Y","Days=T","Dir=V")</f>
        <v>0</v>
      </c>
      <c r="AQ2">
        <f>BDH("SGA US Equity","PX_LAST","1993-06-18","2026-05-02","Per=M","Days=T","Dir=V")</f>
        <v>0</v>
      </c>
      <c r="AS2">
        <f>BDH("SGA US Equity","CUR_MKT_CAP","1993-06-18","2026-05-02","Per=M","Days=T","Dir=V")</f>
        <v>0</v>
      </c>
      <c r="AU2">
        <f>BDH("SGA US Equity","EQY_SH_OUT","1993-06-18","2026-05-02","Per=M","Days=T","Dir=V")</f>
        <v>0</v>
      </c>
      <c r="AW2">
        <f>BDH("SGA US Equity","PX_VOLUME","1993-06-18","2026-05-02","Per=M","Days=T","Dir=V")</f>
        <v>0</v>
      </c>
      <c r="AY2">
        <f>BDH("SGA US Equity","TURNOVER","1993-06-18","2026-05-02","Per=M","Days=T","Dir=V")</f>
        <v>0</v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BDH("SGC US Equity","BS_TOT_ASSET","1993-06-18","2026-05-02","Per=Y","Days=T","Dir=V")</f>
        <v>0</v>
      </c>
      <c r="C2">
        <f>BDH("SGC US Equity","BS_TOT_LIAB2","1993-06-18","2026-05-02","Per=Y","Days=T","Dir=V")</f>
        <v>0</v>
      </c>
      <c r="E2">
        <f>BDH("SGC US Equity","SHORT_AND_LONG_TERM_DEBT","1993-06-18","2026-05-02","Per=Y","Days=T","Dir=V")</f>
        <v>0</v>
      </c>
      <c r="G2">
        <f>BDH("SGC US Equity","BS_ST_BORROW","1993-06-18","2026-05-02","Per=Y","Days=T","Dir=V")</f>
        <v>0</v>
      </c>
      <c r="I2">
        <f>BDH("SGC US Equity","BS_LT_BORROW","1993-06-18","2026-05-02","Per=Y","Days=T","Dir=V")</f>
        <v>0</v>
      </c>
      <c r="K2">
        <f>BDH("SGC US Equity","BS_CASH_NEAR_CASH_ITEM","1993-06-18","2026-05-02","Per=Y","Days=T","Dir=V")</f>
        <v>0</v>
      </c>
      <c r="M2">
        <f>BDH("SGC US Equity","BS_CUR_ASSET_REPORT","1993-06-18","2026-05-02","Per=Y","Days=T","Dir=V")</f>
        <v>0</v>
      </c>
      <c r="O2">
        <f>BDH("SGC US Equity","BS_CUR_LIAB","1993-06-18","2026-05-02","Per=Y","Days=T","Dir=V")</f>
        <v>0</v>
      </c>
      <c r="Q2">
        <f>BDH("SGC US Equity","BS_SHAREHOLDER_EQY_ENDING_PERIOD","1993-06-18","2026-05-02","Per=Y","Days=T","Dir=V")</f>
        <v>0</v>
      </c>
      <c r="S2">
        <f>BDH("SGC US Equity","BS_ACCT_NOTE_RCV","1993-06-18","2026-05-02","Per=Y","Days=T","Dir=V")</f>
        <v>0</v>
      </c>
      <c r="U2">
        <f>BDH("SGC US Equity","BS_INVENTORIES","1993-06-18","2026-05-02","Per=Y","Days=T","Dir=V")</f>
        <v>0</v>
      </c>
      <c r="W2">
        <f>BDH("SGC US Equity","WORKING_CAPITAL","1993-06-18","2026-05-02","Per=Y","Days=T","Dir=V")</f>
        <v>0</v>
      </c>
      <c r="Y2">
        <f>BDH("SGC US Equity","SALES_REV_TURN","1993-06-18","2026-05-02","Per=Y","Days=T","Dir=V")</f>
        <v>0</v>
      </c>
      <c r="AA2">
        <f>BDH("SGC US Equity","EBIT","1993-06-18","2026-05-02","Per=Y","Days=T","Dir=V")</f>
        <v>0</v>
      </c>
      <c r="AC2">
        <f>BDH("SGC US Equity","EBITDA","1993-06-18","2026-05-02","Per=Y","Days=T","Dir=V")</f>
        <v>0</v>
      </c>
      <c r="AE2">
        <f>BDH("SGC US Equity","NET_INCOME","1993-06-18","2026-05-02","Per=Y","Days=T","Dir=V")</f>
        <v>0</v>
      </c>
      <c r="AG2">
        <f>BDH("SGC US Equity","IS_INT_EXPENSE","1993-06-18","2026-05-02","Per=Y","Days=T","Dir=V")</f>
        <v>0</v>
      </c>
      <c r="AI2">
        <f>BDH("SGC US Equity","IS_DEPR_EXP","1993-06-18","2026-05-02","Per=Y","Days=T","Dir=V")</f>
        <v>0</v>
      </c>
      <c r="AK2">
        <f>BDH("SGC US Equity","CF_CASH_FROM_OPER","1993-06-18","2026-05-02","Per=Y","Days=T","Dir=V")</f>
        <v>0</v>
      </c>
      <c r="AM2">
        <f>BDH("SGC US Equity","CAPITAL_EXPEND","1993-06-18","2026-05-02","Per=Y","Days=T","Dir=V")</f>
        <v>0</v>
      </c>
      <c r="AO2">
        <f>BDH("SGC US Equity","CF_FREE_CASH_FLOW","1993-06-18","2026-05-02","Per=Y","Days=T","Dir=V")</f>
        <v>0</v>
      </c>
      <c r="AQ2">
        <f>BDH("SGC US Equity","PX_LAST","1993-06-18","2026-05-02","Per=M","Days=T","Dir=V")</f>
        <v>0</v>
      </c>
      <c r="AS2">
        <f>BDH("SGC US Equity","CUR_MKT_CAP","1993-06-18","2026-05-02","Per=M","Days=T","Dir=V")</f>
        <v>0</v>
      </c>
      <c r="AU2">
        <f>BDH("SGC US Equity","EQY_SH_OUT","1993-06-18","2026-05-02","Per=M","Days=T","Dir=V")</f>
        <v>0</v>
      </c>
      <c r="AW2">
        <f>BDH("SGC US Equity","PX_VOLUME","1993-06-18","2026-05-02","Per=M","Days=T","Dir=V")</f>
        <v>0</v>
      </c>
      <c r="AY2">
        <f>BDH("SGC US Equity","TURNOVER","1993-06-18","2026-05-02","Per=M","Days=T","Dir=V")</f>
        <v>0</v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BDH("SGHT US Equity","BS_TOT_ASSET","1993-06-18","2026-05-02","Per=Y","Days=T","Dir=V")</f>
        <v>0</v>
      </c>
      <c r="C2">
        <f>BDH("SGHT US Equity","BS_TOT_LIAB2","1993-06-18","2026-05-02","Per=Y","Days=T","Dir=V")</f>
        <v>0</v>
      </c>
      <c r="E2">
        <f>BDH("SGHT US Equity","SHORT_AND_LONG_TERM_DEBT","1993-06-18","2026-05-02","Per=Y","Days=T","Dir=V")</f>
        <v>0</v>
      </c>
      <c r="G2">
        <f>BDH("SGHT US Equity","BS_ST_BORROW","1993-06-18","2026-05-02","Per=Y","Days=T","Dir=V")</f>
        <v>0</v>
      </c>
      <c r="I2">
        <f>BDH("SGHT US Equity","BS_LT_BORROW","1993-06-18","2026-05-02","Per=Y","Days=T","Dir=V")</f>
        <v>0</v>
      </c>
      <c r="K2">
        <f>BDH("SGHT US Equity","BS_CASH_NEAR_CASH_ITEM","1993-06-18","2026-05-02","Per=Y","Days=T","Dir=V")</f>
        <v>0</v>
      </c>
      <c r="M2">
        <f>BDH("SGHT US Equity","BS_CUR_ASSET_REPORT","1993-06-18","2026-05-02","Per=Y","Days=T","Dir=V")</f>
        <v>0</v>
      </c>
      <c r="O2">
        <f>BDH("SGHT US Equity","BS_CUR_LIAB","1993-06-18","2026-05-02","Per=Y","Days=T","Dir=V")</f>
        <v>0</v>
      </c>
      <c r="Q2">
        <f>BDH("SGHT US Equity","BS_SHAREHOLDER_EQY_ENDING_PERIOD","1993-06-18","2026-05-02","Per=Y","Days=T","Dir=V")</f>
        <v>0</v>
      </c>
      <c r="S2">
        <f>BDH("SGHT US Equity","BS_ACCT_NOTE_RCV","1993-06-18","2026-05-02","Per=Y","Days=T","Dir=V")</f>
        <v>0</v>
      </c>
      <c r="U2">
        <f>BDH("SGHT US Equity","BS_INVENTORIES","1993-06-18","2026-05-02","Per=Y","Days=T","Dir=V")</f>
        <v>0</v>
      </c>
      <c r="W2">
        <f>BDH("SGHT US Equity","WORKING_CAPITAL","1993-06-18","2026-05-02","Per=Y","Days=T","Dir=V")</f>
        <v>0</v>
      </c>
      <c r="Y2">
        <f>BDH("SGHT US Equity","SALES_REV_TURN","1993-06-18","2026-05-02","Per=Y","Days=T","Dir=V")</f>
        <v>0</v>
      </c>
      <c r="AA2">
        <f>BDH("SGHT US Equity","EBIT","1993-06-18","2026-05-02","Per=Y","Days=T","Dir=V")</f>
        <v>0</v>
      </c>
      <c r="AC2">
        <f>BDH("SGHT US Equity","EBITDA","1993-06-18","2026-05-02","Per=Y","Days=T","Dir=V")</f>
        <v>0</v>
      </c>
      <c r="AE2">
        <f>BDH("SGHT US Equity","NET_INCOME","1993-06-18","2026-05-02","Per=Y","Days=T","Dir=V")</f>
        <v>0</v>
      </c>
      <c r="AG2">
        <f>BDH("SGHT US Equity","IS_INT_EXPENSE","1993-06-18","2026-05-02","Per=Y","Days=T","Dir=V")</f>
        <v>0</v>
      </c>
      <c r="AI2">
        <f>BDH("SGHT US Equity","IS_DEPR_EXP","1993-06-18","2026-05-02","Per=Y","Days=T","Dir=V")</f>
        <v>0</v>
      </c>
      <c r="AK2">
        <f>BDH("SGHT US Equity","CF_CASH_FROM_OPER","1993-06-18","2026-05-02","Per=Y","Days=T","Dir=V")</f>
        <v>0</v>
      </c>
      <c r="AM2">
        <f>BDH("SGHT US Equity","CAPITAL_EXPEND","1993-06-18","2026-05-02","Per=Y","Days=T","Dir=V")</f>
        <v>0</v>
      </c>
      <c r="AO2">
        <f>BDH("SGHT US Equity","CF_FREE_CASH_FLOW","1993-06-18","2026-05-02","Per=Y","Days=T","Dir=V")</f>
        <v>0</v>
      </c>
      <c r="AQ2">
        <f>BDH("SGHT US Equity","PX_LAST","1993-06-18","2026-05-02","Per=M","Days=T","Dir=V")</f>
        <v>0</v>
      </c>
      <c r="AS2">
        <f>BDH("SGHT US Equity","CUR_MKT_CAP","1993-06-18","2026-05-02","Per=M","Days=T","Dir=V")</f>
        <v>0</v>
      </c>
      <c r="AU2">
        <f>BDH("SGHT US Equity","EQY_SH_OUT","1993-06-18","2026-05-02","Per=M","Days=T","Dir=V")</f>
        <v>0</v>
      </c>
      <c r="AW2">
        <f>BDH("SGHT US Equity","PX_VOLUME","1993-06-18","2026-05-02","Per=M","Days=T","Dir=V")</f>
        <v>0</v>
      </c>
      <c r="AY2">
        <f>BDH("SGHT US Equity","TURNOVER","1993-06-18","2026-05-02","Per=M","Days=T","Dir=V")</f>
        <v>0</v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BDH("SGI US Equity","BS_TOT_ASSET","1993-06-18","2026-05-02","Per=Y","Days=T","Dir=V")</f>
        <v>0</v>
      </c>
      <c r="C2">
        <f>BDH("SGI US Equity","BS_TOT_LIAB2","1993-06-18","2026-05-02","Per=Y","Days=T","Dir=V")</f>
        <v>0</v>
      </c>
      <c r="E2">
        <f>BDH("SGI US Equity","SHORT_AND_LONG_TERM_DEBT","1993-06-18","2026-05-02","Per=Y","Days=T","Dir=V")</f>
        <v>0</v>
      </c>
      <c r="G2">
        <f>BDH("SGI US Equity","BS_ST_BORROW","1993-06-18","2026-05-02","Per=Y","Days=T","Dir=V")</f>
        <v>0</v>
      </c>
      <c r="I2">
        <f>BDH("SGI US Equity","BS_LT_BORROW","1993-06-18","2026-05-02","Per=Y","Days=T","Dir=V")</f>
        <v>0</v>
      </c>
      <c r="K2">
        <f>BDH("SGI US Equity","BS_CASH_NEAR_CASH_ITEM","1993-06-18","2026-05-02","Per=Y","Days=T","Dir=V")</f>
        <v>0</v>
      </c>
      <c r="M2">
        <f>BDH("SGI US Equity","BS_CUR_ASSET_REPORT","1993-06-18","2026-05-02","Per=Y","Days=T","Dir=V")</f>
        <v>0</v>
      </c>
      <c r="O2">
        <f>BDH("SGI US Equity","BS_CUR_LIAB","1993-06-18","2026-05-02","Per=Y","Days=T","Dir=V")</f>
        <v>0</v>
      </c>
      <c r="Q2">
        <f>BDH("SGI US Equity","BS_SHAREHOLDER_EQY_ENDING_PERIOD","1993-06-18","2026-05-02","Per=Y","Days=T","Dir=V")</f>
        <v>0</v>
      </c>
      <c r="S2">
        <f>BDH("SGI US Equity","BS_ACCT_NOTE_RCV","1993-06-18","2026-05-02","Per=Y","Days=T","Dir=V")</f>
        <v>0</v>
      </c>
      <c r="U2">
        <f>BDH("SGI US Equity","BS_INVENTORIES","1993-06-18","2026-05-02","Per=Y","Days=T","Dir=V")</f>
        <v>0</v>
      </c>
      <c r="W2">
        <f>BDH("SGI US Equity","WORKING_CAPITAL","1993-06-18","2026-05-02","Per=Y","Days=T","Dir=V")</f>
        <v>0</v>
      </c>
      <c r="Y2">
        <f>BDH("SGI US Equity","SALES_REV_TURN","1993-06-18","2026-05-02","Per=Y","Days=T","Dir=V")</f>
        <v>0</v>
      </c>
      <c r="AA2">
        <f>BDH("SGI US Equity","EBIT","1993-06-18","2026-05-02","Per=Y","Days=T","Dir=V")</f>
        <v>0</v>
      </c>
      <c r="AC2">
        <f>BDH("SGI US Equity","EBITDA","1993-06-18","2026-05-02","Per=Y","Days=T","Dir=V")</f>
        <v>0</v>
      </c>
      <c r="AE2">
        <f>BDH("SGI US Equity","NET_INCOME","1993-06-18","2026-05-02","Per=Y","Days=T","Dir=V")</f>
        <v>0</v>
      </c>
      <c r="AG2">
        <f>BDH("SGI US Equity","IS_INT_EXPENSE","1993-06-18","2026-05-02","Per=Y","Days=T","Dir=V")</f>
        <v>0</v>
      </c>
      <c r="AI2">
        <f>BDH("SGI US Equity","IS_DEPR_EXP","1993-06-18","2026-05-02","Per=Y","Days=T","Dir=V")</f>
        <v>0</v>
      </c>
      <c r="AK2">
        <f>BDH("SGI US Equity","CF_CASH_FROM_OPER","1993-06-18","2026-05-02","Per=Y","Days=T","Dir=V")</f>
        <v>0</v>
      </c>
      <c r="AM2">
        <f>BDH("SGI US Equity","CAPITAL_EXPEND","1993-06-18","2026-05-02","Per=Y","Days=T","Dir=V")</f>
        <v>0</v>
      </c>
      <c r="AO2">
        <f>BDH("SGI US Equity","CF_FREE_CASH_FLOW","1993-06-18","2026-05-02","Per=Y","Days=T","Dir=V")</f>
        <v>0</v>
      </c>
      <c r="AQ2">
        <f>BDH("SGI US Equity","PX_LAST","1993-06-18","2026-05-02","Per=M","Days=T","Dir=V")</f>
        <v>0</v>
      </c>
      <c r="AS2">
        <f>BDH("SGI US Equity","CUR_MKT_CAP","1993-06-18","2026-05-02","Per=M","Days=T","Dir=V")</f>
        <v>0</v>
      </c>
      <c r="AU2">
        <f>BDH("SGI US Equity","EQY_SH_OUT","1993-06-18","2026-05-02","Per=M","Days=T","Dir=V")</f>
        <v>0</v>
      </c>
      <c r="AW2">
        <f>BDH("SGI US Equity","PX_VOLUME","1993-06-18","2026-05-02","Per=M","Days=T","Dir=V")</f>
        <v>0</v>
      </c>
      <c r="AY2">
        <f>BDH("SGI US Equity","TURNOVER","1993-06-18","2026-05-02","Per=M","Days=T","Dir=V")</f>
        <v>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BDH("SGLY US Equity","BS_TOT_ASSET","1993-06-18","2026-05-02","Per=Y","Days=T","Dir=V")</f>
        <v>0</v>
      </c>
      <c r="C2">
        <f>BDH("SGLY US Equity","BS_TOT_LIAB2","1993-06-18","2026-05-02","Per=Y","Days=T","Dir=V")</f>
        <v>0</v>
      </c>
      <c r="E2">
        <f>BDH("SGLY US Equity","SHORT_AND_LONG_TERM_DEBT","1993-06-18","2026-05-02","Per=Y","Days=T","Dir=V")</f>
        <v>0</v>
      </c>
      <c r="G2">
        <f>BDH("SGLY US Equity","BS_ST_BORROW","1993-06-18","2026-05-02","Per=Y","Days=T","Dir=V")</f>
        <v>0</v>
      </c>
      <c r="I2">
        <f>BDH("SGLY US Equity","BS_LT_BORROW","1993-06-18","2026-05-02","Per=Y","Days=T","Dir=V")</f>
        <v>0</v>
      </c>
      <c r="K2">
        <f>BDH("SGLY US Equity","BS_CASH_NEAR_CASH_ITEM","1993-06-18","2026-05-02","Per=Y","Days=T","Dir=V")</f>
        <v>0</v>
      </c>
      <c r="M2">
        <f>BDH("SGLY US Equity","BS_CUR_ASSET_REPORT","1993-06-18","2026-05-02","Per=Y","Days=T","Dir=V")</f>
        <v>0</v>
      </c>
      <c r="O2">
        <f>BDH("SGLY US Equity","BS_CUR_LIAB","1993-06-18","2026-05-02","Per=Y","Days=T","Dir=V")</f>
        <v>0</v>
      </c>
      <c r="Q2">
        <f>BDH("SGLY US Equity","BS_SHAREHOLDER_EQY_ENDING_PERIOD","1993-06-18","2026-05-02","Per=Y","Days=T","Dir=V")</f>
        <v>0</v>
      </c>
      <c r="S2">
        <f>BDH("SGLY US Equity","BS_ACCT_NOTE_RCV","1993-06-18","2026-05-02","Per=Y","Days=T","Dir=V")</f>
        <v>0</v>
      </c>
      <c r="U2">
        <f>BDH("SGLY US Equity","BS_INVENTORIES","1993-06-18","2026-05-02","Per=Y","Days=T","Dir=V")</f>
        <v>0</v>
      </c>
      <c r="W2">
        <f>BDH("SGLY US Equity","WORKING_CAPITAL","1993-06-18","2026-05-02","Per=Y","Days=T","Dir=V")</f>
        <v>0</v>
      </c>
      <c r="Y2">
        <f>BDH("SGLY US Equity","SALES_REV_TURN","1993-06-18","2026-05-02","Per=Y","Days=T","Dir=V")</f>
        <v>0</v>
      </c>
      <c r="AA2">
        <f>BDH("SGLY US Equity","EBIT","1993-06-18","2026-05-02","Per=Y","Days=T","Dir=V")</f>
        <v>0</v>
      </c>
      <c r="AC2">
        <f>BDH("SGLY US Equity","EBITDA","1993-06-18","2026-05-02","Per=Y","Days=T","Dir=V")</f>
        <v>0</v>
      </c>
      <c r="AE2">
        <f>BDH("SGLY US Equity","NET_INCOME","1993-06-18","2026-05-02","Per=Y","Days=T","Dir=V")</f>
        <v>0</v>
      </c>
      <c r="AG2">
        <f>BDH("SGLY US Equity","IS_INT_EXPENSE","1993-06-18","2026-05-02","Per=Y","Days=T","Dir=V")</f>
        <v>0</v>
      </c>
      <c r="AI2">
        <f>BDH("SGLY US Equity","IS_DEPR_EXP","1993-06-18","2026-05-02","Per=Y","Days=T","Dir=V")</f>
        <v>0</v>
      </c>
      <c r="AK2">
        <f>BDH("SGLY US Equity","CF_CASH_FROM_OPER","1993-06-18","2026-05-02","Per=Y","Days=T","Dir=V")</f>
        <v>0</v>
      </c>
      <c r="AM2">
        <f>BDH("SGLY US Equity","CAPITAL_EXPEND","1993-06-18","2026-05-02","Per=Y","Days=T","Dir=V")</f>
        <v>0</v>
      </c>
      <c r="AO2">
        <f>BDH("SGLY US Equity","CF_FREE_CASH_FLOW","1993-06-18","2026-05-02","Per=Y","Days=T","Dir=V")</f>
        <v>0</v>
      </c>
      <c r="AQ2">
        <f>BDH("SGLY US Equity","PX_LAST","1993-06-18","2026-05-02","Per=M","Days=T","Dir=V")</f>
        <v>0</v>
      </c>
      <c r="AS2">
        <f>BDH("SGLY US Equity","CUR_MKT_CAP","1993-06-18","2026-05-02","Per=M","Days=T","Dir=V")</f>
        <v>0</v>
      </c>
      <c r="AU2">
        <f>BDH("SGLY US Equity","EQY_SH_OUT","1993-06-18","2026-05-02","Per=M","Days=T","Dir=V")</f>
        <v>0</v>
      </c>
      <c r="AW2">
        <f>BDH("SGLY US Equity","PX_VOLUME","1993-06-18","2026-05-02","Per=M","Days=T","Dir=V")</f>
        <v>0</v>
      </c>
      <c r="AY2">
        <f>BDH("SGLY US Equity","TURNOVER","1993-06-18","2026-05-02","Per=M","Days=T","Dir=V")</f>
        <v>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BDH("SGMT US Equity","BS_TOT_ASSET","1993-06-18","2026-05-02","Per=Y","Days=T","Dir=V")</f>
        <v>0</v>
      </c>
      <c r="C2">
        <f>BDH("SGMT US Equity","BS_TOT_LIAB2","1993-06-18","2026-05-02","Per=Y","Days=T","Dir=V")</f>
        <v>0</v>
      </c>
      <c r="E2">
        <f>BDH("SGMT US Equity","SHORT_AND_LONG_TERM_DEBT","1993-06-18","2026-05-02","Per=Y","Days=T","Dir=V")</f>
        <v>0</v>
      </c>
      <c r="G2">
        <f>BDH("SGMT US Equity","BS_ST_BORROW","1993-06-18","2026-05-02","Per=Y","Days=T","Dir=V")</f>
        <v>0</v>
      </c>
      <c r="I2">
        <f>BDH("SGMT US Equity","BS_LT_BORROW","1993-06-18","2026-05-02","Per=Y","Days=T","Dir=V")</f>
        <v>0</v>
      </c>
      <c r="K2">
        <f>BDH("SGMT US Equity","BS_CASH_NEAR_CASH_ITEM","1993-06-18","2026-05-02","Per=Y","Days=T","Dir=V")</f>
        <v>0</v>
      </c>
      <c r="M2">
        <f>BDH("SGMT US Equity","BS_CUR_ASSET_REPORT","1993-06-18","2026-05-02","Per=Y","Days=T","Dir=V")</f>
        <v>0</v>
      </c>
      <c r="O2">
        <f>BDH("SGMT US Equity","BS_CUR_LIAB","1993-06-18","2026-05-02","Per=Y","Days=T","Dir=V")</f>
        <v>0</v>
      </c>
      <c r="Q2">
        <f>BDH("SGMT US Equity","BS_SHAREHOLDER_EQY_ENDING_PERIOD","1993-06-18","2026-05-02","Per=Y","Days=T","Dir=V")</f>
        <v>0</v>
      </c>
      <c r="S2">
        <f>BDH("SGMT US Equity","BS_ACCT_NOTE_RCV","1993-06-18","2026-05-02","Per=Y","Days=T","Dir=V")</f>
        <v>0</v>
      </c>
      <c r="U2">
        <f>BDH("SGMT US Equity","BS_INVENTORIES","1993-06-18","2026-05-02","Per=Y","Days=T","Dir=V")</f>
        <v>0</v>
      </c>
      <c r="W2">
        <f>BDH("SGMT US Equity","WORKING_CAPITAL","1993-06-18","2026-05-02","Per=Y","Days=T","Dir=V")</f>
        <v>0</v>
      </c>
      <c r="Y2">
        <f>BDH("SGMT US Equity","SALES_REV_TURN","1993-06-18","2026-05-02","Per=Y","Days=T","Dir=V")</f>
        <v>0</v>
      </c>
      <c r="AA2">
        <f>BDH("SGMT US Equity","EBIT","1993-06-18","2026-05-02","Per=Y","Days=T","Dir=V")</f>
        <v>0</v>
      </c>
      <c r="AC2">
        <f>BDH("SGMT US Equity","EBITDA","1993-06-18","2026-05-02","Per=Y","Days=T","Dir=V")</f>
        <v>0</v>
      </c>
      <c r="AE2">
        <f>BDH("SGMT US Equity","NET_INCOME","1993-06-18","2026-05-02","Per=Y","Days=T","Dir=V")</f>
        <v>0</v>
      </c>
      <c r="AG2">
        <f>BDH("SGMT US Equity","IS_INT_EXPENSE","1993-06-18","2026-05-02","Per=Y","Days=T","Dir=V")</f>
        <v>0</v>
      </c>
      <c r="AI2">
        <f>BDH("SGMT US Equity","IS_DEPR_EXP","1993-06-18","2026-05-02","Per=Y","Days=T","Dir=V")</f>
        <v>0</v>
      </c>
      <c r="AK2">
        <f>BDH("SGMT US Equity","CF_CASH_FROM_OPER","1993-06-18","2026-05-02","Per=Y","Days=T","Dir=V")</f>
        <v>0</v>
      </c>
      <c r="AM2">
        <f>BDH("SGMT US Equity","CAPITAL_EXPEND","1993-06-18","2026-05-02","Per=Y","Days=T","Dir=V")</f>
        <v>0</v>
      </c>
      <c r="AO2">
        <f>BDH("SGMT US Equity","CF_FREE_CASH_FLOW","1993-06-18","2026-05-02","Per=Y","Days=T","Dir=V")</f>
        <v>0</v>
      </c>
      <c r="AQ2">
        <f>BDH("SGMT US Equity","PX_LAST","1993-06-18","2026-05-02","Per=M","Days=T","Dir=V")</f>
        <v>0</v>
      </c>
      <c r="AS2">
        <f>BDH("SGMT US Equity","CUR_MKT_CAP","1993-06-18","2026-05-02","Per=M","Days=T","Dir=V")</f>
        <v>0</v>
      </c>
      <c r="AU2">
        <f>BDH("SGMT US Equity","EQY_SH_OUT","1993-06-18","2026-05-02","Per=M","Days=T","Dir=V")</f>
        <v>0</v>
      </c>
      <c r="AW2">
        <f>BDH("SGMT US Equity","PX_VOLUME","1993-06-18","2026-05-02","Per=M","Days=T","Dir=V")</f>
        <v>0</v>
      </c>
      <c r="AY2">
        <f>BDH("SGMT US Equity","TURNOVER","1993-06-18","2026-05-02","Per=M","Days=T","Dir=V")</f>
        <v>0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BDH("SGP US Equity","BS_TOT_ASSET","1993-06-18","2026-05-02","Per=Y","Days=T","Dir=V")</f>
        <v>0</v>
      </c>
      <c r="C2">
        <f>BDH("SGP US Equity","BS_TOT_LIAB2","1993-06-18","2026-05-02","Per=Y","Days=T","Dir=V")</f>
        <v>0</v>
      </c>
      <c r="E2">
        <f>BDH("SGP US Equity","SHORT_AND_LONG_TERM_DEBT","1993-06-18","2026-05-02","Per=Y","Days=T","Dir=V")</f>
        <v>0</v>
      </c>
      <c r="G2">
        <f>BDH("SGP US Equity","BS_ST_BORROW","1993-06-18","2026-05-02","Per=Y","Days=T","Dir=V")</f>
        <v>0</v>
      </c>
      <c r="I2">
        <f>BDH("SGP US Equity","BS_LT_BORROW","1993-06-18","2026-05-02","Per=Y","Days=T","Dir=V")</f>
        <v>0</v>
      </c>
      <c r="K2">
        <f>BDH("SGP US Equity","BS_CASH_NEAR_CASH_ITEM","1993-06-18","2026-05-02","Per=Y","Days=T","Dir=V")</f>
        <v>0</v>
      </c>
      <c r="M2">
        <f>BDH("SGP US Equity","BS_CUR_ASSET_REPORT","1993-06-18","2026-05-02","Per=Y","Days=T","Dir=V")</f>
        <v>0</v>
      </c>
      <c r="O2">
        <f>BDH("SGP US Equity","BS_CUR_LIAB","1993-06-18","2026-05-02","Per=Y","Days=T","Dir=V")</f>
        <v>0</v>
      </c>
      <c r="Q2">
        <f>BDH("SGP US Equity","BS_SHAREHOLDER_EQY_ENDING_PERIOD","1993-06-18","2026-05-02","Per=Y","Days=T","Dir=V")</f>
        <v>0</v>
      </c>
      <c r="S2">
        <f>BDH("SGP US Equity","BS_ACCT_NOTE_RCV","1993-06-18","2026-05-02","Per=Y","Days=T","Dir=V")</f>
        <v>0</v>
      </c>
      <c r="U2">
        <f>BDH("SGP US Equity","BS_INVENTORIES","1993-06-18","2026-05-02","Per=Y","Days=T","Dir=V")</f>
        <v>0</v>
      </c>
      <c r="W2">
        <f>BDH("SGP US Equity","WORKING_CAPITAL","1993-06-18","2026-05-02","Per=Y","Days=T","Dir=V")</f>
        <v>0</v>
      </c>
      <c r="Y2">
        <f>BDH("SGP US Equity","SALES_REV_TURN","1993-06-18","2026-05-02","Per=Y","Days=T","Dir=V")</f>
        <v>0</v>
      </c>
      <c r="AA2">
        <f>BDH("SGP US Equity","EBIT","1993-06-18","2026-05-02","Per=Y","Days=T","Dir=V")</f>
        <v>0</v>
      </c>
      <c r="AC2">
        <f>BDH("SGP US Equity","EBITDA","1993-06-18","2026-05-02","Per=Y","Days=T","Dir=V")</f>
        <v>0</v>
      </c>
      <c r="AE2">
        <f>BDH("SGP US Equity","NET_INCOME","1993-06-18","2026-05-02","Per=Y","Days=T","Dir=V")</f>
        <v>0</v>
      </c>
      <c r="AG2">
        <f>BDH("SGP US Equity","IS_INT_EXPENSE","1993-06-18","2026-05-02","Per=Y","Days=T","Dir=V")</f>
        <v>0</v>
      </c>
      <c r="AI2">
        <f>BDH("SGP US Equity","IS_DEPR_EXP","1993-06-18","2026-05-02","Per=Y","Days=T","Dir=V")</f>
        <v>0</v>
      </c>
      <c r="AK2">
        <f>BDH("SGP US Equity","CF_CASH_FROM_OPER","1993-06-18","2026-05-02","Per=Y","Days=T","Dir=V")</f>
        <v>0</v>
      </c>
      <c r="AM2">
        <f>BDH("SGP US Equity","CAPITAL_EXPEND","1993-06-18","2026-05-02","Per=Y","Days=T","Dir=V")</f>
        <v>0</v>
      </c>
      <c r="AO2">
        <f>BDH("SGP US Equity","CF_FREE_CASH_FLOW","1993-06-18","2026-05-02","Per=Y","Days=T","Dir=V")</f>
        <v>0</v>
      </c>
      <c r="AQ2">
        <f>BDH("SGP US Equity","PX_LAST","1993-06-18","2026-05-02","Per=M","Days=T","Dir=V")</f>
        <v>0</v>
      </c>
      <c r="AS2">
        <f>BDH("SGP US Equity","CUR_MKT_CAP","1993-06-18","2026-05-02","Per=M","Days=T","Dir=V")</f>
        <v>0</v>
      </c>
      <c r="AU2">
        <f>BDH("SGP US Equity","EQY_SH_OUT","1993-06-18","2026-05-02","Per=M","Days=T","Dir=V")</f>
        <v>0</v>
      </c>
      <c r="AW2">
        <f>BDH("SGP US Equity","PX_VOLUME","1993-06-18","2026-05-02","Per=M","Days=T","Dir=V")</f>
        <v>0</v>
      </c>
      <c r="AY2">
        <f>BDH("SGP US Equity","TURNOVER","1993-06-18","2026-05-02","Per=M","Days=T","Dir=V")</f>
        <v>0</v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BDH("SGRY US Equity","BS_TOT_ASSET","1993-06-18","2026-05-02","Per=Y","Days=T","Dir=V")</f>
        <v>0</v>
      </c>
      <c r="C2">
        <f>BDH("SGRY US Equity","BS_TOT_LIAB2","1993-06-18","2026-05-02","Per=Y","Days=T","Dir=V")</f>
        <v>0</v>
      </c>
      <c r="E2">
        <f>BDH("SGRY US Equity","SHORT_AND_LONG_TERM_DEBT","1993-06-18","2026-05-02","Per=Y","Days=T","Dir=V")</f>
        <v>0</v>
      </c>
      <c r="G2">
        <f>BDH("SGRY US Equity","BS_ST_BORROW","1993-06-18","2026-05-02","Per=Y","Days=T","Dir=V")</f>
        <v>0</v>
      </c>
      <c r="I2">
        <f>BDH("SGRY US Equity","BS_LT_BORROW","1993-06-18","2026-05-02","Per=Y","Days=T","Dir=V")</f>
        <v>0</v>
      </c>
      <c r="K2">
        <f>BDH("SGRY US Equity","BS_CASH_NEAR_CASH_ITEM","1993-06-18","2026-05-02","Per=Y","Days=T","Dir=V")</f>
        <v>0</v>
      </c>
      <c r="M2">
        <f>BDH("SGRY US Equity","BS_CUR_ASSET_REPORT","1993-06-18","2026-05-02","Per=Y","Days=T","Dir=V")</f>
        <v>0</v>
      </c>
      <c r="O2">
        <f>BDH("SGRY US Equity","BS_CUR_LIAB","1993-06-18","2026-05-02","Per=Y","Days=T","Dir=V")</f>
        <v>0</v>
      </c>
      <c r="Q2">
        <f>BDH("SGRY US Equity","BS_SHAREHOLDER_EQY_ENDING_PERIOD","1993-06-18","2026-05-02","Per=Y","Days=T","Dir=V")</f>
        <v>0</v>
      </c>
      <c r="S2">
        <f>BDH("SGRY US Equity","BS_ACCT_NOTE_RCV","1993-06-18","2026-05-02","Per=Y","Days=T","Dir=V")</f>
        <v>0</v>
      </c>
      <c r="U2">
        <f>BDH("SGRY US Equity","BS_INVENTORIES","1993-06-18","2026-05-02","Per=Y","Days=T","Dir=V")</f>
        <v>0</v>
      </c>
      <c r="W2">
        <f>BDH("SGRY US Equity","WORKING_CAPITAL","1993-06-18","2026-05-02","Per=Y","Days=T","Dir=V")</f>
        <v>0</v>
      </c>
      <c r="Y2">
        <f>BDH("SGRY US Equity","SALES_REV_TURN","1993-06-18","2026-05-02","Per=Y","Days=T","Dir=V")</f>
        <v>0</v>
      </c>
      <c r="AA2">
        <f>BDH("SGRY US Equity","EBIT","1993-06-18","2026-05-02","Per=Y","Days=T","Dir=V")</f>
        <v>0</v>
      </c>
      <c r="AC2">
        <f>BDH("SGRY US Equity","EBITDA","1993-06-18","2026-05-02","Per=Y","Days=T","Dir=V")</f>
        <v>0</v>
      </c>
      <c r="AE2">
        <f>BDH("SGRY US Equity","NET_INCOME","1993-06-18","2026-05-02","Per=Y","Days=T","Dir=V")</f>
        <v>0</v>
      </c>
      <c r="AG2">
        <f>BDH("SGRY US Equity","IS_INT_EXPENSE","1993-06-18","2026-05-02","Per=Y","Days=T","Dir=V")</f>
        <v>0</v>
      </c>
      <c r="AI2">
        <f>BDH("SGRY US Equity","IS_DEPR_EXP","1993-06-18","2026-05-02","Per=Y","Days=T","Dir=V")</f>
        <v>0</v>
      </c>
      <c r="AK2">
        <f>BDH("SGRY US Equity","CF_CASH_FROM_OPER","1993-06-18","2026-05-02","Per=Y","Days=T","Dir=V")</f>
        <v>0</v>
      </c>
      <c r="AM2">
        <f>BDH("SGRY US Equity","CAPITAL_EXPEND","1993-06-18","2026-05-02","Per=Y","Days=T","Dir=V")</f>
        <v>0</v>
      </c>
      <c r="AO2">
        <f>BDH("SGRY US Equity","CF_FREE_CASH_FLOW","1993-06-18","2026-05-02","Per=Y","Days=T","Dir=V")</f>
        <v>0</v>
      </c>
      <c r="AQ2">
        <f>BDH("SGRY US Equity","PX_LAST","1993-06-18","2026-05-02","Per=M","Days=T","Dir=V")</f>
        <v>0</v>
      </c>
      <c r="AS2">
        <f>BDH("SGRY US Equity","CUR_MKT_CAP","1993-06-18","2026-05-02","Per=M","Days=T","Dir=V")</f>
        <v>0</v>
      </c>
      <c r="AU2">
        <f>BDH("SGRY US Equity","EQY_SH_OUT","1993-06-18","2026-05-02","Per=M","Days=T","Dir=V")</f>
        <v>0</v>
      </c>
      <c r="AW2">
        <f>BDH("SGRY US Equity","PX_VOLUME","1993-06-18","2026-05-02","Per=M","Days=T","Dir=V")</f>
        <v>0</v>
      </c>
      <c r="AY2">
        <f>BDH("SGRY US Equity","TURNOVER","1993-06-18","2026-05-02","Per=M","Days=T","Dir=V")</f>
        <v>0</v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BDH("SGU US Equity","BS_TOT_ASSET","1993-06-18","2026-05-02","Per=Y","Days=T","Dir=V")</f>
        <v>0</v>
      </c>
      <c r="C2">
        <f>BDH("SGU US Equity","BS_TOT_LIAB2","1993-06-18","2026-05-02","Per=Y","Days=T","Dir=V")</f>
        <v>0</v>
      </c>
      <c r="E2">
        <f>BDH("SGU US Equity","SHORT_AND_LONG_TERM_DEBT","1993-06-18","2026-05-02","Per=Y","Days=T","Dir=V")</f>
        <v>0</v>
      </c>
      <c r="G2">
        <f>BDH("SGU US Equity","BS_ST_BORROW","1993-06-18","2026-05-02","Per=Y","Days=T","Dir=V")</f>
        <v>0</v>
      </c>
      <c r="I2">
        <f>BDH("SGU US Equity","BS_LT_BORROW","1993-06-18","2026-05-02","Per=Y","Days=T","Dir=V")</f>
        <v>0</v>
      </c>
      <c r="K2">
        <f>BDH("SGU US Equity","BS_CASH_NEAR_CASH_ITEM","1993-06-18","2026-05-02","Per=Y","Days=T","Dir=V")</f>
        <v>0</v>
      </c>
      <c r="M2">
        <f>BDH("SGU US Equity","BS_CUR_ASSET_REPORT","1993-06-18","2026-05-02","Per=Y","Days=T","Dir=V")</f>
        <v>0</v>
      </c>
      <c r="O2">
        <f>BDH("SGU US Equity","BS_CUR_LIAB","1993-06-18","2026-05-02","Per=Y","Days=T","Dir=V")</f>
        <v>0</v>
      </c>
      <c r="Q2">
        <f>BDH("SGU US Equity","BS_SHAREHOLDER_EQY_ENDING_PERIOD","1993-06-18","2026-05-02","Per=Y","Days=T","Dir=V")</f>
        <v>0</v>
      </c>
      <c r="S2">
        <f>BDH("SGU US Equity","BS_ACCT_NOTE_RCV","1993-06-18","2026-05-02","Per=Y","Days=T","Dir=V")</f>
        <v>0</v>
      </c>
      <c r="U2">
        <f>BDH("SGU US Equity","BS_INVENTORIES","1993-06-18","2026-05-02","Per=Y","Days=T","Dir=V")</f>
        <v>0</v>
      </c>
      <c r="W2">
        <f>BDH("SGU US Equity","WORKING_CAPITAL","1993-06-18","2026-05-02","Per=Y","Days=T","Dir=V")</f>
        <v>0</v>
      </c>
      <c r="Y2">
        <f>BDH("SGU US Equity","SALES_REV_TURN","1993-06-18","2026-05-02","Per=Y","Days=T","Dir=V")</f>
        <v>0</v>
      </c>
      <c r="AA2">
        <f>BDH("SGU US Equity","EBIT","1993-06-18","2026-05-02","Per=Y","Days=T","Dir=V")</f>
        <v>0</v>
      </c>
      <c r="AC2">
        <f>BDH("SGU US Equity","EBITDA","1993-06-18","2026-05-02","Per=Y","Days=T","Dir=V")</f>
        <v>0</v>
      </c>
      <c r="AE2">
        <f>BDH("SGU US Equity","NET_INCOME","1993-06-18","2026-05-02","Per=Y","Days=T","Dir=V")</f>
        <v>0</v>
      </c>
      <c r="AG2">
        <f>BDH("SGU US Equity","IS_INT_EXPENSE","1993-06-18","2026-05-02","Per=Y","Days=T","Dir=V")</f>
        <v>0</v>
      </c>
      <c r="AI2">
        <f>BDH("SGU US Equity","IS_DEPR_EXP","1993-06-18","2026-05-02","Per=Y","Days=T","Dir=V")</f>
        <v>0</v>
      </c>
      <c r="AK2">
        <f>BDH("SGU US Equity","CF_CASH_FROM_OPER","1993-06-18","2026-05-02","Per=Y","Days=T","Dir=V")</f>
        <v>0</v>
      </c>
      <c r="AM2">
        <f>BDH("SGU US Equity","CAPITAL_EXPEND","1993-06-18","2026-05-02","Per=Y","Days=T","Dir=V")</f>
        <v>0</v>
      </c>
      <c r="AO2">
        <f>BDH("SGU US Equity","CF_FREE_CASH_FLOW","1993-06-18","2026-05-02","Per=Y","Days=T","Dir=V")</f>
        <v>0</v>
      </c>
      <c r="AQ2">
        <f>BDH("SGU US Equity","PX_LAST","1993-06-18","2026-05-02","Per=M","Days=T","Dir=V")</f>
        <v>0</v>
      </c>
      <c r="AS2">
        <f>BDH("SGU US Equity","CUR_MKT_CAP","1993-06-18","2026-05-02","Per=M","Days=T","Dir=V")</f>
        <v>0</v>
      </c>
      <c r="AU2">
        <f>BDH("SGU US Equity","EQY_SH_OUT","1993-06-18","2026-05-02","Per=M","Days=T","Dir=V")</f>
        <v>0</v>
      </c>
      <c r="AW2">
        <f>BDH("SGU US Equity","PX_VOLUME","1993-06-18","2026-05-02","Per=M","Days=T","Dir=V")</f>
        <v>0</v>
      </c>
      <c r="AY2">
        <f>BDH("SGU US Equity","TURNOVER","1993-06-18","2026-05-02","Per=M","Days=T","Dir=V")</f>
        <v>0</v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BDH("SHAK US Equity","BS_TOT_ASSET","1993-06-18","2026-05-02","Per=Y","Days=T","Dir=V")</f>
        <v>0</v>
      </c>
      <c r="C2">
        <f>BDH("SHAK US Equity","BS_TOT_LIAB2","1993-06-18","2026-05-02","Per=Y","Days=T","Dir=V")</f>
        <v>0</v>
      </c>
      <c r="E2">
        <f>BDH("SHAK US Equity","SHORT_AND_LONG_TERM_DEBT","1993-06-18","2026-05-02","Per=Y","Days=T","Dir=V")</f>
        <v>0</v>
      </c>
      <c r="G2">
        <f>BDH("SHAK US Equity","BS_ST_BORROW","1993-06-18","2026-05-02","Per=Y","Days=T","Dir=V")</f>
        <v>0</v>
      </c>
      <c r="I2">
        <f>BDH("SHAK US Equity","BS_LT_BORROW","1993-06-18","2026-05-02","Per=Y","Days=T","Dir=V")</f>
        <v>0</v>
      </c>
      <c r="K2">
        <f>BDH("SHAK US Equity","BS_CASH_NEAR_CASH_ITEM","1993-06-18","2026-05-02","Per=Y","Days=T","Dir=V")</f>
        <v>0</v>
      </c>
      <c r="M2">
        <f>BDH("SHAK US Equity","BS_CUR_ASSET_REPORT","1993-06-18","2026-05-02","Per=Y","Days=T","Dir=V")</f>
        <v>0</v>
      </c>
      <c r="O2">
        <f>BDH("SHAK US Equity","BS_CUR_LIAB","1993-06-18","2026-05-02","Per=Y","Days=T","Dir=V")</f>
        <v>0</v>
      </c>
      <c r="Q2">
        <f>BDH("SHAK US Equity","BS_SHAREHOLDER_EQY_ENDING_PERIOD","1993-06-18","2026-05-02","Per=Y","Days=T","Dir=V")</f>
        <v>0</v>
      </c>
      <c r="S2">
        <f>BDH("SHAK US Equity","BS_ACCT_NOTE_RCV","1993-06-18","2026-05-02","Per=Y","Days=T","Dir=V")</f>
        <v>0</v>
      </c>
      <c r="U2">
        <f>BDH("SHAK US Equity","BS_INVENTORIES","1993-06-18","2026-05-02","Per=Y","Days=T","Dir=V")</f>
        <v>0</v>
      </c>
      <c r="W2">
        <f>BDH("SHAK US Equity","WORKING_CAPITAL","1993-06-18","2026-05-02","Per=Y","Days=T","Dir=V")</f>
        <v>0</v>
      </c>
      <c r="Y2">
        <f>BDH("SHAK US Equity","SALES_REV_TURN","1993-06-18","2026-05-02","Per=Y","Days=T","Dir=V")</f>
        <v>0</v>
      </c>
      <c r="AA2">
        <f>BDH("SHAK US Equity","EBIT","1993-06-18","2026-05-02","Per=Y","Days=T","Dir=V")</f>
        <v>0</v>
      </c>
      <c r="AC2">
        <f>BDH("SHAK US Equity","EBITDA","1993-06-18","2026-05-02","Per=Y","Days=T","Dir=V")</f>
        <v>0</v>
      </c>
      <c r="AE2">
        <f>BDH("SHAK US Equity","NET_INCOME","1993-06-18","2026-05-02","Per=Y","Days=T","Dir=V")</f>
        <v>0</v>
      </c>
      <c r="AG2">
        <f>BDH("SHAK US Equity","IS_INT_EXPENSE","1993-06-18","2026-05-02","Per=Y","Days=T","Dir=V")</f>
        <v>0</v>
      </c>
      <c r="AI2">
        <f>BDH("SHAK US Equity","IS_DEPR_EXP","1993-06-18","2026-05-02","Per=Y","Days=T","Dir=V")</f>
        <v>0</v>
      </c>
      <c r="AK2">
        <f>BDH("SHAK US Equity","CF_CASH_FROM_OPER","1993-06-18","2026-05-02","Per=Y","Days=T","Dir=V")</f>
        <v>0</v>
      </c>
      <c r="AM2">
        <f>BDH("SHAK US Equity","CAPITAL_EXPEND","1993-06-18","2026-05-02","Per=Y","Days=T","Dir=V")</f>
        <v>0</v>
      </c>
      <c r="AO2">
        <f>BDH("SHAK US Equity","CF_FREE_CASH_FLOW","1993-06-18","2026-05-02","Per=Y","Days=T","Dir=V")</f>
        <v>0</v>
      </c>
      <c r="AQ2">
        <f>BDH("SHAK US Equity","PX_LAST","1993-06-18","2026-05-02","Per=M","Days=T","Dir=V")</f>
        <v>0</v>
      </c>
      <c r="AS2">
        <f>BDH("SHAK US Equity","CUR_MKT_CAP","1993-06-18","2026-05-02","Per=M","Days=T","Dir=V")</f>
        <v>0</v>
      </c>
      <c r="AU2">
        <f>BDH("SHAK US Equity","EQY_SH_OUT","1993-06-18","2026-05-02","Per=M","Days=T","Dir=V")</f>
        <v>0</v>
      </c>
      <c r="AW2">
        <f>BDH("SHAK US Equity","PX_VOLUME","1993-06-18","2026-05-02","Per=M","Days=T","Dir=V")</f>
        <v>0</v>
      </c>
      <c r="AY2">
        <f>BDH("SHAK US Equity","TURNOVER","1993-06-18","2026-05-02","Per=M","Days=T","Dir=V")</f>
        <v>0</v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BDH("SHAZ US Equity","BS_TOT_ASSET","1993-06-18","2026-05-02","Per=Y","Days=T","Dir=V")</f>
        <v>0</v>
      </c>
      <c r="C2">
        <f>BDH("SHAZ US Equity","BS_TOT_LIAB2","1993-06-18","2026-05-02","Per=Y","Days=T","Dir=V")</f>
        <v>0</v>
      </c>
      <c r="E2">
        <f>BDH("SHAZ US Equity","SHORT_AND_LONG_TERM_DEBT","1993-06-18","2026-05-02","Per=Y","Days=T","Dir=V")</f>
        <v>0</v>
      </c>
      <c r="G2">
        <f>BDH("SHAZ US Equity","BS_ST_BORROW","1993-06-18","2026-05-02","Per=Y","Days=T","Dir=V")</f>
        <v>0</v>
      </c>
      <c r="I2">
        <f>BDH("SHAZ US Equity","BS_LT_BORROW","1993-06-18","2026-05-02","Per=Y","Days=T","Dir=V")</f>
        <v>0</v>
      </c>
      <c r="K2">
        <f>BDH("SHAZ US Equity","BS_CASH_NEAR_CASH_ITEM","1993-06-18","2026-05-02","Per=Y","Days=T","Dir=V")</f>
        <v>0</v>
      </c>
      <c r="M2">
        <f>BDH("SHAZ US Equity","BS_CUR_ASSET_REPORT","1993-06-18","2026-05-02","Per=Y","Days=T","Dir=V")</f>
        <v>0</v>
      </c>
      <c r="O2">
        <f>BDH("SHAZ US Equity","BS_CUR_LIAB","1993-06-18","2026-05-02","Per=Y","Days=T","Dir=V")</f>
        <v>0</v>
      </c>
      <c r="Q2">
        <f>BDH("SHAZ US Equity","BS_SHAREHOLDER_EQY_ENDING_PERIOD","1993-06-18","2026-05-02","Per=Y","Days=T","Dir=V")</f>
        <v>0</v>
      </c>
      <c r="S2">
        <f>BDH("SHAZ US Equity","BS_ACCT_NOTE_RCV","1993-06-18","2026-05-02","Per=Y","Days=T","Dir=V")</f>
        <v>0</v>
      </c>
      <c r="U2">
        <f>BDH("SHAZ US Equity","BS_INVENTORIES","1993-06-18","2026-05-02","Per=Y","Days=T","Dir=V")</f>
        <v>0</v>
      </c>
      <c r="W2">
        <f>BDH("SHAZ US Equity","WORKING_CAPITAL","1993-06-18","2026-05-02","Per=Y","Days=T","Dir=V")</f>
        <v>0</v>
      </c>
      <c r="Y2">
        <f>BDH("SHAZ US Equity","SALES_REV_TURN","1993-06-18","2026-05-02","Per=Y","Days=T","Dir=V")</f>
        <v>0</v>
      </c>
      <c r="AA2">
        <f>BDH("SHAZ US Equity","EBIT","1993-06-18","2026-05-02","Per=Y","Days=T","Dir=V")</f>
        <v>0</v>
      </c>
      <c r="AC2">
        <f>BDH("SHAZ US Equity","EBITDA","1993-06-18","2026-05-02","Per=Y","Days=T","Dir=V")</f>
        <v>0</v>
      </c>
      <c r="AE2">
        <f>BDH("SHAZ US Equity","NET_INCOME","1993-06-18","2026-05-02","Per=Y","Days=T","Dir=V")</f>
        <v>0</v>
      </c>
      <c r="AG2">
        <f>BDH("SHAZ US Equity","IS_INT_EXPENSE","1993-06-18","2026-05-02","Per=Y","Days=T","Dir=V")</f>
        <v>0</v>
      </c>
      <c r="AI2">
        <f>BDH("SHAZ US Equity","IS_DEPR_EXP","1993-06-18","2026-05-02","Per=Y","Days=T","Dir=V")</f>
        <v>0</v>
      </c>
      <c r="AK2">
        <f>BDH("SHAZ US Equity","CF_CASH_FROM_OPER","1993-06-18","2026-05-02","Per=Y","Days=T","Dir=V")</f>
        <v>0</v>
      </c>
      <c r="AM2">
        <f>BDH("SHAZ US Equity","CAPITAL_EXPEND","1993-06-18","2026-05-02","Per=Y","Days=T","Dir=V")</f>
        <v>0</v>
      </c>
      <c r="AO2">
        <f>BDH("SHAZ US Equity","CF_FREE_CASH_FLOW","1993-06-18","2026-05-02","Per=Y","Days=T","Dir=V")</f>
        <v>0</v>
      </c>
      <c r="AQ2">
        <f>BDH("SHAZ US Equity","PX_LAST","1993-06-18","2026-05-02","Per=M","Days=T","Dir=V")</f>
        <v>0</v>
      </c>
      <c r="AS2">
        <f>BDH("SHAZ US Equity","CUR_MKT_CAP","1993-06-18","2026-05-02","Per=M","Days=T","Dir=V")</f>
        <v>0</v>
      </c>
      <c r="AU2">
        <f>BDH("SHAZ US Equity","EQY_SH_OUT","1993-06-18","2026-05-02","Per=M","Days=T","Dir=V")</f>
        <v>0</v>
      </c>
      <c r="AW2">
        <f>BDH("SHAZ US Equity","PX_VOLUME","1993-06-18","2026-05-02","Per=M","Days=T","Dir=V")</f>
        <v>0</v>
      </c>
      <c r="AY2">
        <f>BDH("SHAZ US Equity","TURNOVER","1993-06-18","2026-05-02","Per=M","Days=T","Dir=V")</f>
        <v>0</v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BDH("SHC US Equity","BS_TOT_ASSET","1993-06-18","2026-05-02","Per=Y","Days=T","Dir=V")</f>
        <v>0</v>
      </c>
      <c r="C2">
        <f>BDH("SHC US Equity","BS_TOT_LIAB2","1993-06-18","2026-05-02","Per=Y","Days=T","Dir=V")</f>
        <v>0</v>
      </c>
      <c r="E2">
        <f>BDH("SHC US Equity","SHORT_AND_LONG_TERM_DEBT","1993-06-18","2026-05-02","Per=Y","Days=T","Dir=V")</f>
        <v>0</v>
      </c>
      <c r="G2">
        <f>BDH("SHC US Equity","BS_ST_BORROW","1993-06-18","2026-05-02","Per=Y","Days=T","Dir=V")</f>
        <v>0</v>
      </c>
      <c r="I2">
        <f>BDH("SHC US Equity","BS_LT_BORROW","1993-06-18","2026-05-02","Per=Y","Days=T","Dir=V")</f>
        <v>0</v>
      </c>
      <c r="K2">
        <f>BDH("SHC US Equity","BS_CASH_NEAR_CASH_ITEM","1993-06-18","2026-05-02","Per=Y","Days=T","Dir=V")</f>
        <v>0</v>
      </c>
      <c r="M2">
        <f>BDH("SHC US Equity","BS_CUR_ASSET_REPORT","1993-06-18","2026-05-02","Per=Y","Days=T","Dir=V")</f>
        <v>0</v>
      </c>
      <c r="O2">
        <f>BDH("SHC US Equity","BS_CUR_LIAB","1993-06-18","2026-05-02","Per=Y","Days=T","Dir=V")</f>
        <v>0</v>
      </c>
      <c r="Q2">
        <f>BDH("SHC US Equity","BS_SHAREHOLDER_EQY_ENDING_PERIOD","1993-06-18","2026-05-02","Per=Y","Days=T","Dir=V")</f>
        <v>0</v>
      </c>
      <c r="S2">
        <f>BDH("SHC US Equity","BS_ACCT_NOTE_RCV","1993-06-18","2026-05-02","Per=Y","Days=T","Dir=V")</f>
        <v>0</v>
      </c>
      <c r="U2">
        <f>BDH("SHC US Equity","BS_INVENTORIES","1993-06-18","2026-05-02","Per=Y","Days=T","Dir=V")</f>
        <v>0</v>
      </c>
      <c r="W2">
        <f>BDH("SHC US Equity","WORKING_CAPITAL","1993-06-18","2026-05-02","Per=Y","Days=T","Dir=V")</f>
        <v>0</v>
      </c>
      <c r="Y2">
        <f>BDH("SHC US Equity","SALES_REV_TURN","1993-06-18","2026-05-02","Per=Y","Days=T","Dir=V")</f>
        <v>0</v>
      </c>
      <c r="AA2">
        <f>BDH("SHC US Equity","EBIT","1993-06-18","2026-05-02","Per=Y","Days=T","Dir=V")</f>
        <v>0</v>
      </c>
      <c r="AC2">
        <f>BDH("SHC US Equity","EBITDA","1993-06-18","2026-05-02","Per=Y","Days=T","Dir=V")</f>
        <v>0</v>
      </c>
      <c r="AE2">
        <f>BDH("SHC US Equity","NET_INCOME","1993-06-18","2026-05-02","Per=Y","Days=T","Dir=V")</f>
        <v>0</v>
      </c>
      <c r="AG2">
        <f>BDH("SHC US Equity","IS_INT_EXPENSE","1993-06-18","2026-05-02","Per=Y","Days=T","Dir=V")</f>
        <v>0</v>
      </c>
      <c r="AI2">
        <f>BDH("SHC US Equity","IS_DEPR_EXP","1993-06-18","2026-05-02","Per=Y","Days=T","Dir=V")</f>
        <v>0</v>
      </c>
      <c r="AK2">
        <f>BDH("SHC US Equity","CF_CASH_FROM_OPER","1993-06-18","2026-05-02","Per=Y","Days=T","Dir=V")</f>
        <v>0</v>
      </c>
      <c r="AM2">
        <f>BDH("SHC US Equity","CAPITAL_EXPEND","1993-06-18","2026-05-02","Per=Y","Days=T","Dir=V")</f>
        <v>0</v>
      </c>
      <c r="AO2">
        <f>BDH("SHC US Equity","CF_FREE_CASH_FLOW","1993-06-18","2026-05-02","Per=Y","Days=T","Dir=V")</f>
        <v>0</v>
      </c>
      <c r="AQ2">
        <f>BDH("SHC US Equity","PX_LAST","1993-06-18","2026-05-02","Per=M","Days=T","Dir=V")</f>
        <v>0</v>
      </c>
      <c r="AS2">
        <f>BDH("SHC US Equity","CUR_MKT_CAP","1993-06-18","2026-05-02","Per=M","Days=T","Dir=V")</f>
        <v>0</v>
      </c>
      <c r="AU2">
        <f>BDH("SHC US Equity","EQY_SH_OUT","1993-06-18","2026-05-02","Per=M","Days=T","Dir=V")</f>
        <v>0</v>
      </c>
      <c r="AW2">
        <f>BDH("SHC US Equity","PX_VOLUME","1993-06-18","2026-05-02","Per=M","Days=T","Dir=V")</f>
        <v>0</v>
      </c>
      <c r="AY2">
        <f>BDH("SHC US Equity","TURNOVER","1993-06-18","2026-05-02","Per=M","Days=T","Dir=V")</f>
        <v>0</v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BDH("SHEN US Equity","BS_TOT_ASSET","1993-06-18","2026-05-02","Per=Y","Days=T","Dir=V")</f>
        <v>0</v>
      </c>
      <c r="C2">
        <f>BDH("SHEN US Equity","BS_TOT_LIAB2","1993-06-18","2026-05-02","Per=Y","Days=T","Dir=V")</f>
        <v>0</v>
      </c>
      <c r="E2">
        <f>BDH("SHEN US Equity","SHORT_AND_LONG_TERM_DEBT","1993-06-18","2026-05-02","Per=Y","Days=T","Dir=V")</f>
        <v>0</v>
      </c>
      <c r="G2">
        <f>BDH("SHEN US Equity","BS_ST_BORROW","1993-06-18","2026-05-02","Per=Y","Days=T","Dir=V")</f>
        <v>0</v>
      </c>
      <c r="I2">
        <f>BDH("SHEN US Equity","BS_LT_BORROW","1993-06-18","2026-05-02","Per=Y","Days=T","Dir=V")</f>
        <v>0</v>
      </c>
      <c r="K2">
        <f>BDH("SHEN US Equity","BS_CASH_NEAR_CASH_ITEM","1993-06-18","2026-05-02","Per=Y","Days=T","Dir=V")</f>
        <v>0</v>
      </c>
      <c r="M2">
        <f>BDH("SHEN US Equity","BS_CUR_ASSET_REPORT","1993-06-18","2026-05-02","Per=Y","Days=T","Dir=V")</f>
        <v>0</v>
      </c>
      <c r="O2">
        <f>BDH("SHEN US Equity","BS_CUR_LIAB","1993-06-18","2026-05-02","Per=Y","Days=T","Dir=V")</f>
        <v>0</v>
      </c>
      <c r="Q2">
        <f>BDH("SHEN US Equity","BS_SHAREHOLDER_EQY_ENDING_PERIOD","1993-06-18","2026-05-02","Per=Y","Days=T","Dir=V")</f>
        <v>0</v>
      </c>
      <c r="S2">
        <f>BDH("SHEN US Equity","BS_ACCT_NOTE_RCV","1993-06-18","2026-05-02","Per=Y","Days=T","Dir=V")</f>
        <v>0</v>
      </c>
      <c r="U2">
        <f>BDH("SHEN US Equity","BS_INVENTORIES","1993-06-18","2026-05-02","Per=Y","Days=T","Dir=V")</f>
        <v>0</v>
      </c>
      <c r="W2">
        <f>BDH("SHEN US Equity","WORKING_CAPITAL","1993-06-18","2026-05-02","Per=Y","Days=T","Dir=V")</f>
        <v>0</v>
      </c>
      <c r="Y2">
        <f>BDH("SHEN US Equity","SALES_REV_TURN","1993-06-18","2026-05-02","Per=Y","Days=T","Dir=V")</f>
        <v>0</v>
      </c>
      <c r="AA2">
        <f>BDH("SHEN US Equity","EBIT","1993-06-18","2026-05-02","Per=Y","Days=T","Dir=V")</f>
        <v>0</v>
      </c>
      <c r="AC2">
        <f>BDH("SHEN US Equity","EBITDA","1993-06-18","2026-05-02","Per=Y","Days=T","Dir=V")</f>
        <v>0</v>
      </c>
      <c r="AE2">
        <f>BDH("SHEN US Equity","NET_INCOME","1993-06-18","2026-05-02","Per=Y","Days=T","Dir=V")</f>
        <v>0</v>
      </c>
      <c r="AG2">
        <f>BDH("SHEN US Equity","IS_INT_EXPENSE","1993-06-18","2026-05-02","Per=Y","Days=T","Dir=V")</f>
        <v>0</v>
      </c>
      <c r="AI2">
        <f>BDH("SHEN US Equity","IS_DEPR_EXP","1993-06-18","2026-05-02","Per=Y","Days=T","Dir=V")</f>
        <v>0</v>
      </c>
      <c r="AK2">
        <f>BDH("SHEN US Equity","CF_CASH_FROM_OPER","1993-06-18","2026-05-02","Per=Y","Days=T","Dir=V")</f>
        <v>0</v>
      </c>
      <c r="AM2">
        <f>BDH("SHEN US Equity","CAPITAL_EXPEND","1993-06-18","2026-05-02","Per=Y","Days=T","Dir=V")</f>
        <v>0</v>
      </c>
      <c r="AO2">
        <f>BDH("SHEN US Equity","CF_FREE_CASH_FLOW","1993-06-18","2026-05-02","Per=Y","Days=T","Dir=V")</f>
        <v>0</v>
      </c>
      <c r="AQ2">
        <f>BDH("SHEN US Equity","PX_LAST","1993-06-18","2026-05-02","Per=M","Days=T","Dir=V")</f>
        <v>0</v>
      </c>
      <c r="AS2">
        <f>BDH("SHEN US Equity","CUR_MKT_CAP","1993-06-18","2026-05-02","Per=M","Days=T","Dir=V")</f>
        <v>0</v>
      </c>
      <c r="AU2">
        <f>BDH("SHEN US Equity","EQY_SH_OUT","1993-06-18","2026-05-02","Per=M","Days=T","Dir=V")</f>
        <v>0</v>
      </c>
      <c r="AW2">
        <f>BDH("SHEN US Equity","PX_VOLUME","1993-06-18","2026-05-02","Per=M","Days=T","Dir=V")</f>
        <v>0</v>
      </c>
      <c r="AY2">
        <f>BDH("SHEN US Equity","TURNOVER","1993-06-18","2026-05-02","Per=M","Days=T","Dir=V")</f>
        <v>0</v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BDH("SHIM US Equity","BS_TOT_ASSET","1993-06-18","2026-05-02","Per=Y","Days=T","Dir=V")</f>
        <v>0</v>
      </c>
      <c r="C2">
        <f>BDH("SHIM US Equity","BS_TOT_LIAB2","1993-06-18","2026-05-02","Per=Y","Days=T","Dir=V")</f>
        <v>0</v>
      </c>
      <c r="E2">
        <f>BDH("SHIM US Equity","SHORT_AND_LONG_TERM_DEBT","1993-06-18","2026-05-02","Per=Y","Days=T","Dir=V")</f>
        <v>0</v>
      </c>
      <c r="G2">
        <f>BDH("SHIM US Equity","BS_ST_BORROW","1993-06-18","2026-05-02","Per=Y","Days=T","Dir=V")</f>
        <v>0</v>
      </c>
      <c r="I2">
        <f>BDH("SHIM US Equity","BS_LT_BORROW","1993-06-18","2026-05-02","Per=Y","Days=T","Dir=V")</f>
        <v>0</v>
      </c>
      <c r="K2">
        <f>BDH("SHIM US Equity","BS_CASH_NEAR_CASH_ITEM","1993-06-18","2026-05-02","Per=Y","Days=T","Dir=V")</f>
        <v>0</v>
      </c>
      <c r="M2">
        <f>BDH("SHIM US Equity","BS_CUR_ASSET_REPORT","1993-06-18","2026-05-02","Per=Y","Days=T","Dir=V")</f>
        <v>0</v>
      </c>
      <c r="O2">
        <f>BDH("SHIM US Equity","BS_CUR_LIAB","1993-06-18","2026-05-02","Per=Y","Days=T","Dir=V")</f>
        <v>0</v>
      </c>
      <c r="Q2">
        <f>BDH("SHIM US Equity","BS_SHAREHOLDER_EQY_ENDING_PERIOD","1993-06-18","2026-05-02","Per=Y","Days=T","Dir=V")</f>
        <v>0</v>
      </c>
      <c r="S2">
        <f>BDH("SHIM US Equity","BS_ACCT_NOTE_RCV","1993-06-18","2026-05-02","Per=Y","Days=T","Dir=V")</f>
        <v>0</v>
      </c>
      <c r="U2">
        <f>BDH("SHIM US Equity","BS_INVENTORIES","1993-06-18","2026-05-02","Per=Y","Days=T","Dir=V")</f>
        <v>0</v>
      </c>
      <c r="W2">
        <f>BDH("SHIM US Equity","WORKING_CAPITAL","1993-06-18","2026-05-02","Per=Y","Days=T","Dir=V")</f>
        <v>0</v>
      </c>
      <c r="Y2">
        <f>BDH("SHIM US Equity","SALES_REV_TURN","1993-06-18","2026-05-02","Per=Y","Days=T","Dir=V")</f>
        <v>0</v>
      </c>
      <c r="AA2">
        <f>BDH("SHIM US Equity","EBIT","1993-06-18","2026-05-02","Per=Y","Days=T","Dir=V")</f>
        <v>0</v>
      </c>
      <c r="AC2">
        <f>BDH("SHIM US Equity","EBITDA","1993-06-18","2026-05-02","Per=Y","Days=T","Dir=V")</f>
        <v>0</v>
      </c>
      <c r="AE2">
        <f>BDH("SHIM US Equity","NET_INCOME","1993-06-18","2026-05-02","Per=Y","Days=T","Dir=V")</f>
        <v>0</v>
      </c>
      <c r="AG2">
        <f>BDH("SHIM US Equity","IS_INT_EXPENSE","1993-06-18","2026-05-02","Per=Y","Days=T","Dir=V")</f>
        <v>0</v>
      </c>
      <c r="AI2">
        <f>BDH("SHIM US Equity","IS_DEPR_EXP","1993-06-18","2026-05-02","Per=Y","Days=T","Dir=V")</f>
        <v>0</v>
      </c>
      <c r="AK2">
        <f>BDH("SHIM US Equity","CF_CASH_FROM_OPER","1993-06-18","2026-05-02","Per=Y","Days=T","Dir=V")</f>
        <v>0</v>
      </c>
      <c r="AM2">
        <f>BDH("SHIM US Equity","CAPITAL_EXPEND","1993-06-18","2026-05-02","Per=Y","Days=T","Dir=V")</f>
        <v>0</v>
      </c>
      <c r="AO2">
        <f>BDH("SHIM US Equity","CF_FREE_CASH_FLOW","1993-06-18","2026-05-02","Per=Y","Days=T","Dir=V")</f>
        <v>0</v>
      </c>
      <c r="AQ2">
        <f>BDH("SHIM US Equity","PX_LAST","1993-06-18","2026-05-02","Per=M","Days=T","Dir=V")</f>
        <v>0</v>
      </c>
      <c r="AS2">
        <f>BDH("SHIM US Equity","CUR_MKT_CAP","1993-06-18","2026-05-02","Per=M","Days=T","Dir=V")</f>
        <v>0</v>
      </c>
      <c r="AU2">
        <f>BDH("SHIM US Equity","EQY_SH_OUT","1993-06-18","2026-05-02","Per=M","Days=T","Dir=V")</f>
        <v>0</v>
      </c>
      <c r="AW2">
        <f>BDH("SHIM US Equity","PX_VOLUME","1993-06-18","2026-05-02","Per=M","Days=T","Dir=V")</f>
        <v>0</v>
      </c>
      <c r="AY2">
        <f>BDH("SHIM US Equity","TURNOVER","1993-06-18","2026-05-02","Per=M","Days=T","Dir=V")</f>
        <v>0</v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BDH("SHLS US Equity","BS_TOT_ASSET","1993-06-18","2026-05-02","Per=Y","Days=T","Dir=V")</f>
        <v>0</v>
      </c>
      <c r="C2">
        <f>BDH("SHLS US Equity","BS_TOT_LIAB2","1993-06-18","2026-05-02","Per=Y","Days=T","Dir=V")</f>
        <v>0</v>
      </c>
      <c r="E2">
        <f>BDH("SHLS US Equity","SHORT_AND_LONG_TERM_DEBT","1993-06-18","2026-05-02","Per=Y","Days=T","Dir=V")</f>
        <v>0</v>
      </c>
      <c r="G2">
        <f>BDH("SHLS US Equity","BS_ST_BORROW","1993-06-18","2026-05-02","Per=Y","Days=T","Dir=V")</f>
        <v>0</v>
      </c>
      <c r="I2">
        <f>BDH("SHLS US Equity","BS_LT_BORROW","1993-06-18","2026-05-02","Per=Y","Days=T","Dir=V")</f>
        <v>0</v>
      </c>
      <c r="K2">
        <f>BDH("SHLS US Equity","BS_CASH_NEAR_CASH_ITEM","1993-06-18","2026-05-02","Per=Y","Days=T","Dir=V")</f>
        <v>0</v>
      </c>
      <c r="M2">
        <f>BDH("SHLS US Equity","BS_CUR_ASSET_REPORT","1993-06-18","2026-05-02","Per=Y","Days=T","Dir=V")</f>
        <v>0</v>
      </c>
      <c r="O2">
        <f>BDH("SHLS US Equity","BS_CUR_LIAB","1993-06-18","2026-05-02","Per=Y","Days=T","Dir=V")</f>
        <v>0</v>
      </c>
      <c r="Q2">
        <f>BDH("SHLS US Equity","BS_SHAREHOLDER_EQY_ENDING_PERIOD","1993-06-18","2026-05-02","Per=Y","Days=T","Dir=V")</f>
        <v>0</v>
      </c>
      <c r="S2">
        <f>BDH("SHLS US Equity","BS_ACCT_NOTE_RCV","1993-06-18","2026-05-02","Per=Y","Days=T","Dir=V")</f>
        <v>0</v>
      </c>
      <c r="U2">
        <f>BDH("SHLS US Equity","BS_INVENTORIES","1993-06-18","2026-05-02","Per=Y","Days=T","Dir=V")</f>
        <v>0</v>
      </c>
      <c r="W2">
        <f>BDH("SHLS US Equity","WORKING_CAPITAL","1993-06-18","2026-05-02","Per=Y","Days=T","Dir=V")</f>
        <v>0</v>
      </c>
      <c r="Y2">
        <f>BDH("SHLS US Equity","SALES_REV_TURN","1993-06-18","2026-05-02","Per=Y","Days=T","Dir=V")</f>
        <v>0</v>
      </c>
      <c r="AA2">
        <f>BDH("SHLS US Equity","EBIT","1993-06-18","2026-05-02","Per=Y","Days=T","Dir=V")</f>
        <v>0</v>
      </c>
      <c r="AC2">
        <f>BDH("SHLS US Equity","EBITDA","1993-06-18","2026-05-02","Per=Y","Days=T","Dir=V")</f>
        <v>0</v>
      </c>
      <c r="AE2">
        <f>BDH("SHLS US Equity","NET_INCOME","1993-06-18","2026-05-02","Per=Y","Days=T","Dir=V")</f>
        <v>0</v>
      </c>
      <c r="AG2">
        <f>BDH("SHLS US Equity","IS_INT_EXPENSE","1993-06-18","2026-05-02","Per=Y","Days=T","Dir=V")</f>
        <v>0</v>
      </c>
      <c r="AI2">
        <f>BDH("SHLS US Equity","IS_DEPR_EXP","1993-06-18","2026-05-02","Per=Y","Days=T","Dir=V")</f>
        <v>0</v>
      </c>
      <c r="AK2">
        <f>BDH("SHLS US Equity","CF_CASH_FROM_OPER","1993-06-18","2026-05-02","Per=Y","Days=T","Dir=V")</f>
        <v>0</v>
      </c>
      <c r="AM2">
        <f>BDH("SHLS US Equity","CAPITAL_EXPEND","1993-06-18","2026-05-02","Per=Y","Days=T","Dir=V")</f>
        <v>0</v>
      </c>
      <c r="AO2">
        <f>BDH("SHLS US Equity","CF_FREE_CASH_FLOW","1993-06-18","2026-05-02","Per=Y","Days=T","Dir=V")</f>
        <v>0</v>
      </c>
      <c r="AQ2">
        <f>BDH("SHLS US Equity","PX_LAST","1993-06-18","2026-05-02","Per=M","Days=T","Dir=V")</f>
        <v>0</v>
      </c>
      <c r="AS2">
        <f>BDH("SHLS US Equity","CUR_MKT_CAP","1993-06-18","2026-05-02","Per=M","Days=T","Dir=V")</f>
        <v>0</v>
      </c>
      <c r="AU2">
        <f>BDH("SHLS US Equity","EQY_SH_OUT","1993-06-18","2026-05-02","Per=M","Days=T","Dir=V")</f>
        <v>0</v>
      </c>
      <c r="AW2">
        <f>BDH("SHLS US Equity","PX_VOLUME","1993-06-18","2026-05-02","Per=M","Days=T","Dir=V")</f>
        <v>0</v>
      </c>
      <c r="AY2">
        <f>BDH("SHLS US Equity","TURNOVER","1993-06-18","2026-05-02","Per=M","Days=T","Dir=V")</f>
        <v>0</v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BDH("SHO US Equity","BS_TOT_ASSET","1993-06-18","2026-05-02","Per=Y","Days=T","Dir=V")</f>
        <v>0</v>
      </c>
      <c r="C2">
        <f>BDH("SHO US Equity","BS_TOT_LIAB2","1993-06-18","2026-05-02","Per=Y","Days=T","Dir=V")</f>
        <v>0</v>
      </c>
      <c r="E2">
        <f>BDH("SHO US Equity","SHORT_AND_LONG_TERM_DEBT","1993-06-18","2026-05-02","Per=Y","Days=T","Dir=V")</f>
        <v>0</v>
      </c>
      <c r="G2">
        <f>BDH("SHO US Equity","BS_ST_BORROW","1993-06-18","2026-05-02","Per=Y","Days=T","Dir=V")</f>
        <v>0</v>
      </c>
      <c r="I2">
        <f>BDH("SHO US Equity","BS_LT_BORROW","1993-06-18","2026-05-02","Per=Y","Days=T","Dir=V")</f>
        <v>0</v>
      </c>
      <c r="K2">
        <f>BDH("SHO US Equity","BS_CASH_NEAR_CASH_ITEM","1993-06-18","2026-05-02","Per=Y","Days=T","Dir=V")</f>
        <v>0</v>
      </c>
      <c r="M2">
        <f>BDH("SHO US Equity","BS_CUR_ASSET_REPORT","1993-06-18","2026-05-02","Per=Y","Days=T","Dir=V")</f>
        <v>0</v>
      </c>
      <c r="O2">
        <f>BDH("SHO US Equity","BS_CUR_LIAB","1993-06-18","2026-05-02","Per=Y","Days=T","Dir=V")</f>
        <v>0</v>
      </c>
      <c r="Q2">
        <f>BDH("SHO US Equity","BS_SHAREHOLDER_EQY_ENDING_PERIOD","1993-06-18","2026-05-02","Per=Y","Days=T","Dir=V")</f>
        <v>0</v>
      </c>
      <c r="S2">
        <f>BDH("SHO US Equity","BS_ACCT_NOTE_RCV","1993-06-18","2026-05-02","Per=Y","Days=T","Dir=V")</f>
        <v>0</v>
      </c>
      <c r="U2">
        <f>BDH("SHO US Equity","BS_INVENTORIES","1993-06-18","2026-05-02","Per=Y","Days=T","Dir=V")</f>
        <v>0</v>
      </c>
      <c r="W2">
        <f>BDH("SHO US Equity","WORKING_CAPITAL","1993-06-18","2026-05-02","Per=Y","Days=T","Dir=V")</f>
        <v>0</v>
      </c>
      <c r="Y2">
        <f>BDH("SHO US Equity","SALES_REV_TURN","1993-06-18","2026-05-02","Per=Y","Days=T","Dir=V")</f>
        <v>0</v>
      </c>
      <c r="AA2">
        <f>BDH("SHO US Equity","EBIT","1993-06-18","2026-05-02","Per=Y","Days=T","Dir=V")</f>
        <v>0</v>
      </c>
      <c r="AC2">
        <f>BDH("SHO US Equity","EBITDA","1993-06-18","2026-05-02","Per=Y","Days=T","Dir=V")</f>
        <v>0</v>
      </c>
      <c r="AE2">
        <f>BDH("SHO US Equity","NET_INCOME","1993-06-18","2026-05-02","Per=Y","Days=T","Dir=V")</f>
        <v>0</v>
      </c>
      <c r="AG2">
        <f>BDH("SHO US Equity","IS_INT_EXPENSE","1993-06-18","2026-05-02","Per=Y","Days=T","Dir=V")</f>
        <v>0</v>
      </c>
      <c r="AI2">
        <f>BDH("SHO US Equity","IS_DEPR_EXP","1993-06-18","2026-05-02","Per=Y","Days=T","Dir=V")</f>
        <v>0</v>
      </c>
      <c r="AK2">
        <f>BDH("SHO US Equity","CF_CASH_FROM_OPER","1993-06-18","2026-05-02","Per=Y","Days=T","Dir=V")</f>
        <v>0</v>
      </c>
      <c r="AM2">
        <f>BDH("SHO US Equity","CAPITAL_EXPEND","1993-06-18","2026-05-02","Per=Y","Days=T","Dir=V")</f>
        <v>0</v>
      </c>
      <c r="AO2">
        <f>BDH("SHO US Equity","CF_FREE_CASH_FLOW","1993-06-18","2026-05-02","Per=Y","Days=T","Dir=V")</f>
        <v>0</v>
      </c>
      <c r="AQ2">
        <f>BDH("SHO US Equity","PX_LAST","1993-06-18","2026-05-02","Per=M","Days=T","Dir=V")</f>
        <v>0</v>
      </c>
      <c r="AS2">
        <f>BDH("SHO US Equity","CUR_MKT_CAP","1993-06-18","2026-05-02","Per=M","Days=T","Dir=V")</f>
        <v>0</v>
      </c>
      <c r="AU2">
        <f>BDH("SHO US Equity","EQY_SH_OUT","1993-06-18","2026-05-02","Per=M","Days=T","Dir=V")</f>
        <v>0</v>
      </c>
      <c r="AW2">
        <f>BDH("SHO US Equity","PX_VOLUME","1993-06-18","2026-05-02","Per=M","Days=T","Dir=V")</f>
        <v>0</v>
      </c>
      <c r="AY2">
        <f>BDH("SHO US Equity","TURNOVER","1993-06-18","2026-05-02","Per=M","Days=T","Dir=V")</f>
        <v>0</v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BDH("SHOE US Equity","BS_TOT_ASSET","1993-06-18","2026-05-02","Per=Y","Days=T","Dir=V")</f>
        <v>0</v>
      </c>
      <c r="C2">
        <f>BDH("SHOE US Equity","BS_TOT_LIAB2","1993-06-18","2026-05-02","Per=Y","Days=T","Dir=V")</f>
        <v>0</v>
      </c>
      <c r="E2">
        <f>BDH("SHOE US Equity","SHORT_AND_LONG_TERM_DEBT","1993-06-18","2026-05-02","Per=Y","Days=T","Dir=V")</f>
        <v>0</v>
      </c>
      <c r="G2">
        <f>BDH("SHOE US Equity","BS_ST_BORROW","1993-06-18","2026-05-02","Per=Y","Days=T","Dir=V")</f>
        <v>0</v>
      </c>
      <c r="I2">
        <f>BDH("SHOE US Equity","BS_LT_BORROW","1993-06-18","2026-05-02","Per=Y","Days=T","Dir=V")</f>
        <v>0</v>
      </c>
      <c r="K2">
        <f>BDH("SHOE US Equity","BS_CASH_NEAR_CASH_ITEM","1993-06-18","2026-05-02","Per=Y","Days=T","Dir=V")</f>
        <v>0</v>
      </c>
      <c r="M2">
        <f>BDH("SHOE US Equity","BS_CUR_ASSET_REPORT","1993-06-18","2026-05-02","Per=Y","Days=T","Dir=V")</f>
        <v>0</v>
      </c>
      <c r="O2">
        <f>BDH("SHOE US Equity","BS_CUR_LIAB","1993-06-18","2026-05-02","Per=Y","Days=T","Dir=V")</f>
        <v>0</v>
      </c>
      <c r="Q2">
        <f>BDH("SHOE US Equity","BS_SHAREHOLDER_EQY_ENDING_PERIOD","1993-06-18","2026-05-02","Per=Y","Days=T","Dir=V")</f>
        <v>0</v>
      </c>
      <c r="S2">
        <f>BDH("SHOE US Equity","BS_ACCT_NOTE_RCV","1993-06-18","2026-05-02","Per=Y","Days=T","Dir=V")</f>
        <v>0</v>
      </c>
      <c r="U2">
        <f>BDH("SHOE US Equity","BS_INVENTORIES","1993-06-18","2026-05-02","Per=Y","Days=T","Dir=V")</f>
        <v>0</v>
      </c>
      <c r="W2">
        <f>BDH("SHOE US Equity","WORKING_CAPITAL","1993-06-18","2026-05-02","Per=Y","Days=T","Dir=V")</f>
        <v>0</v>
      </c>
      <c r="Y2">
        <f>BDH("SHOE US Equity","SALES_REV_TURN","1993-06-18","2026-05-02","Per=Y","Days=T","Dir=V")</f>
        <v>0</v>
      </c>
      <c r="AA2">
        <f>BDH("SHOE US Equity","EBIT","1993-06-18","2026-05-02","Per=Y","Days=T","Dir=V")</f>
        <v>0</v>
      </c>
      <c r="AC2">
        <f>BDH("SHOE US Equity","EBITDA","1993-06-18","2026-05-02","Per=Y","Days=T","Dir=V")</f>
        <v>0</v>
      </c>
      <c r="AE2">
        <f>BDH("SHOE US Equity","NET_INCOME","1993-06-18","2026-05-02","Per=Y","Days=T","Dir=V")</f>
        <v>0</v>
      </c>
      <c r="AG2">
        <f>BDH("SHOE US Equity","IS_INT_EXPENSE","1993-06-18","2026-05-02","Per=Y","Days=T","Dir=V")</f>
        <v>0</v>
      </c>
      <c r="AI2">
        <f>BDH("SHOE US Equity","IS_DEPR_EXP","1993-06-18","2026-05-02","Per=Y","Days=T","Dir=V")</f>
        <v>0</v>
      </c>
      <c r="AK2">
        <f>BDH("SHOE US Equity","CF_CASH_FROM_OPER","1993-06-18","2026-05-02","Per=Y","Days=T","Dir=V")</f>
        <v>0</v>
      </c>
      <c r="AM2">
        <f>BDH("SHOE US Equity","CAPITAL_EXPEND","1993-06-18","2026-05-02","Per=Y","Days=T","Dir=V")</f>
        <v>0</v>
      </c>
      <c r="AO2">
        <f>BDH("SHOE US Equity","CF_FREE_CASH_FLOW","1993-06-18","2026-05-02","Per=Y","Days=T","Dir=V")</f>
        <v>0</v>
      </c>
      <c r="AQ2">
        <f>BDH("SHOE US Equity","PX_LAST","1993-06-18","2026-05-02","Per=M","Days=T","Dir=V")</f>
        <v>0</v>
      </c>
      <c r="AS2">
        <f>BDH("SHOE US Equity","CUR_MKT_CAP","1993-06-18","2026-05-02","Per=M","Days=T","Dir=V")</f>
        <v>0</v>
      </c>
      <c r="AU2">
        <f>BDH("SHOE US Equity","EQY_SH_OUT","1993-06-18","2026-05-02","Per=M","Days=T","Dir=V")</f>
        <v>0</v>
      </c>
      <c r="AW2">
        <f>BDH("SHOE US Equity","PX_VOLUME","1993-06-18","2026-05-02","Per=M","Days=T","Dir=V")</f>
        <v>0</v>
      </c>
      <c r="AY2">
        <f>BDH("SHOE US Equity","TURNOVER","1993-06-18","2026-05-02","Per=M","Days=T","Dir=V")</f>
        <v>0</v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BDH("SHOO US Equity","BS_TOT_ASSET","1993-06-18","2026-05-02","Per=Y","Days=T","Dir=V")</f>
        <v>0</v>
      </c>
      <c r="C2">
        <f>BDH("SHOO US Equity","BS_TOT_LIAB2","1993-06-18","2026-05-02","Per=Y","Days=T","Dir=V")</f>
        <v>0</v>
      </c>
      <c r="E2">
        <f>BDH("SHOO US Equity","SHORT_AND_LONG_TERM_DEBT","1993-06-18","2026-05-02","Per=Y","Days=T","Dir=V")</f>
        <v>0</v>
      </c>
      <c r="G2">
        <f>BDH("SHOO US Equity","BS_ST_BORROW","1993-06-18","2026-05-02","Per=Y","Days=T","Dir=V")</f>
        <v>0</v>
      </c>
      <c r="I2">
        <f>BDH("SHOO US Equity","BS_LT_BORROW","1993-06-18","2026-05-02","Per=Y","Days=T","Dir=V")</f>
        <v>0</v>
      </c>
      <c r="K2">
        <f>BDH("SHOO US Equity","BS_CASH_NEAR_CASH_ITEM","1993-06-18","2026-05-02","Per=Y","Days=T","Dir=V")</f>
        <v>0</v>
      </c>
      <c r="M2">
        <f>BDH("SHOO US Equity","BS_CUR_ASSET_REPORT","1993-06-18","2026-05-02","Per=Y","Days=T","Dir=V")</f>
        <v>0</v>
      </c>
      <c r="O2">
        <f>BDH("SHOO US Equity","BS_CUR_LIAB","1993-06-18","2026-05-02","Per=Y","Days=T","Dir=V")</f>
        <v>0</v>
      </c>
      <c r="Q2">
        <f>BDH("SHOO US Equity","BS_SHAREHOLDER_EQY_ENDING_PERIOD","1993-06-18","2026-05-02","Per=Y","Days=T","Dir=V")</f>
        <v>0</v>
      </c>
      <c r="S2">
        <f>BDH("SHOO US Equity","BS_ACCT_NOTE_RCV","1993-06-18","2026-05-02","Per=Y","Days=T","Dir=V")</f>
        <v>0</v>
      </c>
      <c r="U2">
        <f>BDH("SHOO US Equity","BS_INVENTORIES","1993-06-18","2026-05-02","Per=Y","Days=T","Dir=V")</f>
        <v>0</v>
      </c>
      <c r="W2">
        <f>BDH("SHOO US Equity","WORKING_CAPITAL","1993-06-18","2026-05-02","Per=Y","Days=T","Dir=V")</f>
        <v>0</v>
      </c>
      <c r="Y2">
        <f>BDH("SHOO US Equity","SALES_REV_TURN","1993-06-18","2026-05-02","Per=Y","Days=T","Dir=V")</f>
        <v>0</v>
      </c>
      <c r="AA2">
        <f>BDH("SHOO US Equity","EBIT","1993-06-18","2026-05-02","Per=Y","Days=T","Dir=V")</f>
        <v>0</v>
      </c>
      <c r="AC2">
        <f>BDH("SHOO US Equity","EBITDA","1993-06-18","2026-05-02","Per=Y","Days=T","Dir=V")</f>
        <v>0</v>
      </c>
      <c r="AE2">
        <f>BDH("SHOO US Equity","NET_INCOME","1993-06-18","2026-05-02","Per=Y","Days=T","Dir=V")</f>
        <v>0</v>
      </c>
      <c r="AG2">
        <f>BDH("SHOO US Equity","IS_INT_EXPENSE","1993-06-18","2026-05-02","Per=Y","Days=T","Dir=V")</f>
        <v>0</v>
      </c>
      <c r="AI2">
        <f>BDH("SHOO US Equity","IS_DEPR_EXP","1993-06-18","2026-05-02","Per=Y","Days=T","Dir=V")</f>
        <v>0</v>
      </c>
      <c r="AK2">
        <f>BDH("SHOO US Equity","CF_CASH_FROM_OPER","1993-06-18","2026-05-02","Per=Y","Days=T","Dir=V")</f>
        <v>0</v>
      </c>
      <c r="AM2">
        <f>BDH("SHOO US Equity","CAPITAL_EXPEND","1993-06-18","2026-05-02","Per=Y","Days=T","Dir=V")</f>
        <v>0</v>
      </c>
      <c r="AO2">
        <f>BDH("SHOO US Equity","CF_FREE_CASH_FLOW","1993-06-18","2026-05-02","Per=Y","Days=T","Dir=V")</f>
        <v>0</v>
      </c>
      <c r="AQ2">
        <f>BDH("SHOO US Equity","PX_LAST","1993-06-18","2026-05-02","Per=M","Days=T","Dir=V")</f>
        <v>0</v>
      </c>
      <c r="AS2">
        <f>BDH("SHOO US Equity","CUR_MKT_CAP","1993-06-18","2026-05-02","Per=M","Days=T","Dir=V")</f>
        <v>0</v>
      </c>
      <c r="AU2">
        <f>BDH("SHOO US Equity","EQY_SH_OUT","1993-06-18","2026-05-02","Per=M","Days=T","Dir=V")</f>
        <v>0</v>
      </c>
      <c r="AW2">
        <f>BDH("SHOO US Equity","PX_VOLUME","1993-06-18","2026-05-02","Per=M","Days=T","Dir=V")</f>
        <v>0</v>
      </c>
      <c r="AY2">
        <f>BDH("SHOO US Equity","TURNOVER","1993-06-18","2026-05-02","Per=M","Days=T","Dir=V")</f>
        <v>0</v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BDH("SHPH US Equity","BS_TOT_ASSET","1993-06-18","2026-05-02","Per=Y","Days=T","Dir=V")</f>
        <v>0</v>
      </c>
      <c r="C2">
        <f>BDH("SHPH US Equity","BS_TOT_LIAB2","1993-06-18","2026-05-02","Per=Y","Days=T","Dir=V")</f>
        <v>0</v>
      </c>
      <c r="E2">
        <f>BDH("SHPH US Equity","SHORT_AND_LONG_TERM_DEBT","1993-06-18","2026-05-02","Per=Y","Days=T","Dir=V")</f>
        <v>0</v>
      </c>
      <c r="G2">
        <f>BDH("SHPH US Equity","BS_ST_BORROW","1993-06-18","2026-05-02","Per=Y","Days=T","Dir=V")</f>
        <v>0</v>
      </c>
      <c r="I2">
        <f>BDH("SHPH US Equity","BS_LT_BORROW","1993-06-18","2026-05-02","Per=Y","Days=T","Dir=V")</f>
        <v>0</v>
      </c>
      <c r="K2">
        <f>BDH("SHPH US Equity","BS_CASH_NEAR_CASH_ITEM","1993-06-18","2026-05-02","Per=Y","Days=T","Dir=V")</f>
        <v>0</v>
      </c>
      <c r="M2">
        <f>BDH("SHPH US Equity","BS_CUR_ASSET_REPORT","1993-06-18","2026-05-02","Per=Y","Days=T","Dir=V")</f>
        <v>0</v>
      </c>
      <c r="O2">
        <f>BDH("SHPH US Equity","BS_CUR_LIAB","1993-06-18","2026-05-02","Per=Y","Days=T","Dir=V")</f>
        <v>0</v>
      </c>
      <c r="Q2">
        <f>BDH("SHPH US Equity","BS_SHAREHOLDER_EQY_ENDING_PERIOD","1993-06-18","2026-05-02","Per=Y","Days=T","Dir=V")</f>
        <v>0</v>
      </c>
      <c r="S2">
        <f>BDH("SHPH US Equity","BS_ACCT_NOTE_RCV","1993-06-18","2026-05-02","Per=Y","Days=T","Dir=V")</f>
        <v>0</v>
      </c>
      <c r="U2">
        <f>BDH("SHPH US Equity","BS_INVENTORIES","1993-06-18","2026-05-02","Per=Y","Days=T","Dir=V")</f>
        <v>0</v>
      </c>
      <c r="W2">
        <f>BDH("SHPH US Equity","WORKING_CAPITAL","1993-06-18","2026-05-02","Per=Y","Days=T","Dir=V")</f>
        <v>0</v>
      </c>
      <c r="Y2">
        <f>BDH("SHPH US Equity","SALES_REV_TURN","1993-06-18","2026-05-02","Per=Y","Days=T","Dir=V")</f>
        <v>0</v>
      </c>
      <c r="AA2">
        <f>BDH("SHPH US Equity","EBIT","1993-06-18","2026-05-02","Per=Y","Days=T","Dir=V")</f>
        <v>0</v>
      </c>
      <c r="AC2">
        <f>BDH("SHPH US Equity","EBITDA","1993-06-18","2026-05-02","Per=Y","Days=T","Dir=V")</f>
        <v>0</v>
      </c>
      <c r="AE2">
        <f>BDH("SHPH US Equity","NET_INCOME","1993-06-18","2026-05-02","Per=Y","Days=T","Dir=V")</f>
        <v>0</v>
      </c>
      <c r="AG2">
        <f>BDH("SHPH US Equity","IS_INT_EXPENSE","1993-06-18","2026-05-02","Per=Y","Days=T","Dir=V")</f>
        <v>0</v>
      </c>
      <c r="AI2">
        <f>BDH("SHPH US Equity","IS_DEPR_EXP","1993-06-18","2026-05-02","Per=Y","Days=T","Dir=V")</f>
        <v>0</v>
      </c>
      <c r="AK2">
        <f>BDH("SHPH US Equity","CF_CASH_FROM_OPER","1993-06-18","2026-05-02","Per=Y","Days=T","Dir=V")</f>
        <v>0</v>
      </c>
      <c r="AM2">
        <f>BDH("SHPH US Equity","CAPITAL_EXPEND","1993-06-18","2026-05-02","Per=Y","Days=T","Dir=V")</f>
        <v>0</v>
      </c>
      <c r="AO2">
        <f>BDH("SHPH US Equity","CF_FREE_CASH_FLOW","1993-06-18","2026-05-02","Per=Y","Days=T","Dir=V")</f>
        <v>0</v>
      </c>
      <c r="AQ2">
        <f>BDH("SHPH US Equity","PX_LAST","1993-06-18","2026-05-02","Per=M","Days=T","Dir=V")</f>
        <v>0</v>
      </c>
      <c r="AS2">
        <f>BDH("SHPH US Equity","CUR_MKT_CAP","1993-06-18","2026-05-02","Per=M","Days=T","Dir=V")</f>
        <v>0</v>
      </c>
      <c r="AU2">
        <f>BDH("SHPH US Equity","EQY_SH_OUT","1993-06-18","2026-05-02","Per=M","Days=T","Dir=V")</f>
        <v>0</v>
      </c>
      <c r="AW2">
        <f>BDH("SHPH US Equity","PX_VOLUME","1993-06-18","2026-05-02","Per=M","Days=T","Dir=V")</f>
        <v>0</v>
      </c>
      <c r="AY2">
        <f>BDH("SHPH US Equity","TURNOVER","1993-06-18","2026-05-02","Per=M","Days=T","Dir=V")</f>
        <v>0</v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BDH("SHW US Equity","BS_TOT_ASSET","1993-06-18","2026-05-02","Per=Y","Days=T","Dir=V")</f>
        <v>0</v>
      </c>
      <c r="C2">
        <f>BDH("SHW US Equity","BS_TOT_LIAB2","1993-06-18","2026-05-02","Per=Y","Days=T","Dir=V")</f>
        <v>0</v>
      </c>
      <c r="E2">
        <f>BDH("SHW US Equity","SHORT_AND_LONG_TERM_DEBT","1993-06-18","2026-05-02","Per=Y","Days=T","Dir=V")</f>
        <v>0</v>
      </c>
      <c r="G2">
        <f>BDH("SHW US Equity","BS_ST_BORROW","1993-06-18","2026-05-02","Per=Y","Days=T","Dir=V")</f>
        <v>0</v>
      </c>
      <c r="I2">
        <f>BDH("SHW US Equity","BS_LT_BORROW","1993-06-18","2026-05-02","Per=Y","Days=T","Dir=V")</f>
        <v>0</v>
      </c>
      <c r="K2">
        <f>BDH("SHW US Equity","BS_CASH_NEAR_CASH_ITEM","1993-06-18","2026-05-02","Per=Y","Days=T","Dir=V")</f>
        <v>0</v>
      </c>
      <c r="M2">
        <f>BDH("SHW US Equity","BS_CUR_ASSET_REPORT","1993-06-18","2026-05-02","Per=Y","Days=T","Dir=V")</f>
        <v>0</v>
      </c>
      <c r="O2">
        <f>BDH("SHW US Equity","BS_CUR_LIAB","1993-06-18","2026-05-02","Per=Y","Days=T","Dir=V")</f>
        <v>0</v>
      </c>
      <c r="Q2">
        <f>BDH("SHW US Equity","BS_SHAREHOLDER_EQY_ENDING_PERIOD","1993-06-18","2026-05-02","Per=Y","Days=T","Dir=V")</f>
        <v>0</v>
      </c>
      <c r="S2">
        <f>BDH("SHW US Equity","BS_ACCT_NOTE_RCV","1993-06-18","2026-05-02","Per=Y","Days=T","Dir=V")</f>
        <v>0</v>
      </c>
      <c r="U2">
        <f>BDH("SHW US Equity","BS_INVENTORIES","1993-06-18","2026-05-02","Per=Y","Days=T","Dir=V")</f>
        <v>0</v>
      </c>
      <c r="W2">
        <f>BDH("SHW US Equity","WORKING_CAPITAL","1993-06-18","2026-05-02","Per=Y","Days=T","Dir=V")</f>
        <v>0</v>
      </c>
      <c r="Y2">
        <f>BDH("SHW US Equity","SALES_REV_TURN","1993-06-18","2026-05-02","Per=Y","Days=T","Dir=V")</f>
        <v>0</v>
      </c>
      <c r="AA2">
        <f>BDH("SHW US Equity","EBIT","1993-06-18","2026-05-02","Per=Y","Days=T","Dir=V")</f>
        <v>0</v>
      </c>
      <c r="AC2">
        <f>BDH("SHW US Equity","EBITDA","1993-06-18","2026-05-02","Per=Y","Days=T","Dir=V")</f>
        <v>0</v>
      </c>
      <c r="AE2">
        <f>BDH("SHW US Equity","NET_INCOME","1993-06-18","2026-05-02","Per=Y","Days=T","Dir=V")</f>
        <v>0</v>
      </c>
      <c r="AG2">
        <f>BDH("SHW US Equity","IS_INT_EXPENSE","1993-06-18","2026-05-02","Per=Y","Days=T","Dir=V")</f>
        <v>0</v>
      </c>
      <c r="AI2">
        <f>BDH("SHW US Equity","IS_DEPR_EXP","1993-06-18","2026-05-02","Per=Y","Days=T","Dir=V")</f>
        <v>0</v>
      </c>
      <c r="AK2">
        <f>BDH("SHW US Equity","CF_CASH_FROM_OPER","1993-06-18","2026-05-02","Per=Y","Days=T","Dir=V")</f>
        <v>0</v>
      </c>
      <c r="AM2">
        <f>BDH("SHW US Equity","CAPITAL_EXPEND","1993-06-18","2026-05-02","Per=Y","Days=T","Dir=V")</f>
        <v>0</v>
      </c>
      <c r="AO2">
        <f>BDH("SHW US Equity","CF_FREE_CASH_FLOW","1993-06-18","2026-05-02","Per=Y","Days=T","Dir=V")</f>
        <v>0</v>
      </c>
      <c r="AQ2">
        <f>BDH("SHW US Equity","PX_LAST","1993-06-18","2026-05-02","Per=M","Days=T","Dir=V")</f>
        <v>0</v>
      </c>
      <c r="AS2">
        <f>BDH("SHW US Equity","CUR_MKT_CAP","1993-06-18","2026-05-02","Per=M","Days=T","Dir=V")</f>
        <v>0</v>
      </c>
      <c r="AU2">
        <f>BDH("SHW US Equity","EQY_SH_OUT","1993-06-18","2026-05-02","Per=M","Days=T","Dir=V")</f>
        <v>0</v>
      </c>
      <c r="AW2">
        <f>BDH("SHW US Equity","PX_VOLUME","1993-06-18","2026-05-02","Per=M","Days=T","Dir=V")</f>
        <v>0</v>
      </c>
      <c r="AY2">
        <f>BDH("SHW US Equity","TURNOVER","1993-06-18","2026-05-02","Per=M","Days=T","Dir=V")</f>
        <v>0</v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 US Equity","BS_TOT_ASSET","1993-06-18","2026-05-02","Per=Y","Days=T","Dir=V")</f>
        <v>0</v>
      </c>
      <c r="C2">
        <f>BDH("SI US Equity","BS_TOT_LIAB2","1993-06-18","2026-05-02","Per=Y","Days=T","Dir=V")</f>
        <v>0</v>
      </c>
      <c r="E2">
        <f>BDH("SI US Equity","SHORT_AND_LONG_TERM_DEBT","1993-06-18","2026-05-02","Per=Y","Days=T","Dir=V")</f>
        <v>0</v>
      </c>
      <c r="G2">
        <f>BDH("SI US Equity","BS_ST_BORROW","1993-06-18","2026-05-02","Per=Y","Days=T","Dir=V")</f>
        <v>0</v>
      </c>
      <c r="I2">
        <f>BDH("SI US Equity","BS_LT_BORROW","1993-06-18","2026-05-02","Per=Y","Days=T","Dir=V")</f>
        <v>0</v>
      </c>
      <c r="K2">
        <f>BDH("SI US Equity","BS_CASH_NEAR_CASH_ITEM","1993-06-18","2026-05-02","Per=Y","Days=T","Dir=V")</f>
        <v>0</v>
      </c>
      <c r="M2">
        <f>BDH("SI US Equity","BS_CUR_ASSET_REPORT","1993-06-18","2026-05-02","Per=Y","Days=T","Dir=V")</f>
        <v>0</v>
      </c>
      <c r="O2">
        <f>BDH("SI US Equity","BS_CUR_LIAB","1993-06-18","2026-05-02","Per=Y","Days=T","Dir=V")</f>
        <v>0</v>
      </c>
      <c r="Q2">
        <f>BDH("SI US Equity","BS_SHAREHOLDER_EQY_ENDING_PERIOD","1993-06-18","2026-05-02","Per=Y","Days=T","Dir=V")</f>
        <v>0</v>
      </c>
      <c r="S2">
        <f>BDH("SI US Equity","BS_ACCT_NOTE_RCV","1993-06-18","2026-05-02","Per=Y","Days=T","Dir=V")</f>
        <v>0</v>
      </c>
      <c r="U2">
        <f>BDH("SI US Equity","BS_INVENTORIES","1993-06-18","2026-05-02","Per=Y","Days=T","Dir=V")</f>
        <v>0</v>
      </c>
      <c r="W2">
        <f>BDH("SI US Equity","WORKING_CAPITAL","1993-06-18","2026-05-02","Per=Y","Days=T","Dir=V")</f>
        <v>0</v>
      </c>
      <c r="Y2">
        <f>BDH("SI US Equity","SALES_REV_TURN","1993-06-18","2026-05-02","Per=Y","Days=T","Dir=V")</f>
        <v>0</v>
      </c>
      <c r="AA2">
        <f>BDH("SI US Equity","EBIT","1993-06-18","2026-05-02","Per=Y","Days=T","Dir=V")</f>
        <v>0</v>
      </c>
      <c r="AC2">
        <f>BDH("SI US Equity","EBITDA","1993-06-18","2026-05-02","Per=Y","Days=T","Dir=V")</f>
        <v>0</v>
      </c>
      <c r="AE2">
        <f>BDH("SI US Equity","NET_INCOME","1993-06-18","2026-05-02","Per=Y","Days=T","Dir=V")</f>
        <v>0</v>
      </c>
      <c r="AG2">
        <f>BDH("SI US Equity","IS_INT_EXPENSE","1993-06-18","2026-05-02","Per=Y","Days=T","Dir=V")</f>
        <v>0</v>
      </c>
      <c r="AI2">
        <f>BDH("SI US Equity","IS_DEPR_EXP","1993-06-18","2026-05-02","Per=Y","Days=T","Dir=V")</f>
        <v>0</v>
      </c>
      <c r="AK2">
        <f>BDH("SI US Equity","CF_CASH_FROM_OPER","1993-06-18","2026-05-02","Per=Y","Days=T","Dir=V")</f>
        <v>0</v>
      </c>
      <c r="AM2">
        <f>BDH("SI US Equity","CAPITAL_EXPEND","1993-06-18","2026-05-02","Per=Y","Days=T","Dir=V")</f>
        <v>0</v>
      </c>
      <c r="AO2">
        <f>BDH("SI US Equity","CF_FREE_CASH_FLOW","1993-06-18","2026-05-02","Per=Y","Days=T","Dir=V")</f>
        <v>0</v>
      </c>
      <c r="AQ2">
        <f>BDH("SI US Equity","PX_LAST","1993-06-18","2026-05-02","Per=M","Days=T","Dir=V")</f>
        <v>0</v>
      </c>
      <c r="AS2">
        <f>BDH("SI US Equity","CUR_MKT_CAP","1993-06-18","2026-05-02","Per=M","Days=T","Dir=V")</f>
        <v>0</v>
      </c>
      <c r="AU2">
        <f>BDH("SI US Equity","EQY_SH_OUT","1993-06-18","2026-05-02","Per=M","Days=T","Dir=V")</f>
        <v>0</v>
      </c>
      <c r="AW2">
        <f>BDH("SI US Equity","PX_VOLUME","1993-06-18","2026-05-02","Per=M","Days=T","Dir=V")</f>
        <v>0</v>
      </c>
      <c r="AY2">
        <f>BDH("SI US Equity","TURNOVER","1993-06-18","2026-05-02","Per=M","Days=T","Dir=V")</f>
        <v>0</v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BDH("SIBN US Equity","BS_TOT_ASSET","1993-06-18","2026-05-02","Per=Y","Days=T","Dir=V")</f>
        <v>0</v>
      </c>
      <c r="C2">
        <f>BDH("SIBN US Equity","BS_TOT_LIAB2","1993-06-18","2026-05-02","Per=Y","Days=T","Dir=V")</f>
        <v>0</v>
      </c>
      <c r="E2">
        <f>BDH("SIBN US Equity","SHORT_AND_LONG_TERM_DEBT","1993-06-18","2026-05-02","Per=Y","Days=T","Dir=V")</f>
        <v>0</v>
      </c>
      <c r="G2">
        <f>BDH("SIBN US Equity","BS_ST_BORROW","1993-06-18","2026-05-02","Per=Y","Days=T","Dir=V")</f>
        <v>0</v>
      </c>
      <c r="I2">
        <f>BDH("SIBN US Equity","BS_LT_BORROW","1993-06-18","2026-05-02","Per=Y","Days=T","Dir=V")</f>
        <v>0</v>
      </c>
      <c r="K2">
        <f>BDH("SIBN US Equity","BS_CASH_NEAR_CASH_ITEM","1993-06-18","2026-05-02","Per=Y","Days=T","Dir=V")</f>
        <v>0</v>
      </c>
      <c r="M2">
        <f>BDH("SIBN US Equity","BS_CUR_ASSET_REPORT","1993-06-18","2026-05-02","Per=Y","Days=T","Dir=V")</f>
        <v>0</v>
      </c>
      <c r="O2">
        <f>BDH("SIBN US Equity","BS_CUR_LIAB","1993-06-18","2026-05-02","Per=Y","Days=T","Dir=V")</f>
        <v>0</v>
      </c>
      <c r="Q2">
        <f>BDH("SIBN US Equity","BS_SHAREHOLDER_EQY_ENDING_PERIOD","1993-06-18","2026-05-02","Per=Y","Days=T","Dir=V")</f>
        <v>0</v>
      </c>
      <c r="S2">
        <f>BDH("SIBN US Equity","BS_ACCT_NOTE_RCV","1993-06-18","2026-05-02","Per=Y","Days=T","Dir=V")</f>
        <v>0</v>
      </c>
      <c r="U2">
        <f>BDH("SIBN US Equity","BS_INVENTORIES","1993-06-18","2026-05-02","Per=Y","Days=T","Dir=V")</f>
        <v>0</v>
      </c>
      <c r="W2">
        <f>BDH("SIBN US Equity","WORKING_CAPITAL","1993-06-18","2026-05-02","Per=Y","Days=T","Dir=V")</f>
        <v>0</v>
      </c>
      <c r="Y2">
        <f>BDH("SIBN US Equity","SALES_REV_TURN","1993-06-18","2026-05-02","Per=Y","Days=T","Dir=V")</f>
        <v>0</v>
      </c>
      <c r="AA2">
        <f>BDH("SIBN US Equity","EBIT","1993-06-18","2026-05-02","Per=Y","Days=T","Dir=V")</f>
        <v>0</v>
      </c>
      <c r="AC2">
        <f>BDH("SIBN US Equity","EBITDA","1993-06-18","2026-05-02","Per=Y","Days=T","Dir=V")</f>
        <v>0</v>
      </c>
      <c r="AE2">
        <f>BDH("SIBN US Equity","NET_INCOME","1993-06-18","2026-05-02","Per=Y","Days=T","Dir=V")</f>
        <v>0</v>
      </c>
      <c r="AG2">
        <f>BDH("SIBN US Equity","IS_INT_EXPENSE","1993-06-18","2026-05-02","Per=Y","Days=T","Dir=V")</f>
        <v>0</v>
      </c>
      <c r="AI2">
        <f>BDH("SIBN US Equity","IS_DEPR_EXP","1993-06-18","2026-05-02","Per=Y","Days=T","Dir=V")</f>
        <v>0</v>
      </c>
      <c r="AK2">
        <f>BDH("SIBN US Equity","CF_CASH_FROM_OPER","1993-06-18","2026-05-02","Per=Y","Days=T","Dir=V")</f>
        <v>0</v>
      </c>
      <c r="AM2">
        <f>BDH("SIBN US Equity","CAPITAL_EXPEND","1993-06-18","2026-05-02","Per=Y","Days=T","Dir=V")</f>
        <v>0</v>
      </c>
      <c r="AO2">
        <f>BDH("SIBN US Equity","CF_FREE_CASH_FLOW","1993-06-18","2026-05-02","Per=Y","Days=T","Dir=V")</f>
        <v>0</v>
      </c>
      <c r="AQ2">
        <f>BDH("SIBN US Equity","PX_LAST","1993-06-18","2026-05-02","Per=M","Days=T","Dir=V")</f>
        <v>0</v>
      </c>
      <c r="AS2">
        <f>BDH("SIBN US Equity","CUR_MKT_CAP","1993-06-18","2026-05-02","Per=M","Days=T","Dir=V")</f>
        <v>0</v>
      </c>
      <c r="AU2">
        <f>BDH("SIBN US Equity","EQY_SH_OUT","1993-06-18","2026-05-02","Per=M","Days=T","Dir=V")</f>
        <v>0</v>
      </c>
      <c r="AW2">
        <f>BDH("SIBN US Equity","PX_VOLUME","1993-06-18","2026-05-02","Per=M","Days=T","Dir=V")</f>
        <v>0</v>
      </c>
      <c r="AY2">
        <f>BDH("SIBN US Equity","TURNOVER","1993-06-18","2026-05-02","Per=M","Days=T","Dir=V")</f>
        <v>0</v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BDH("SIDU US Equity","BS_TOT_ASSET","1993-06-18","2026-05-02","Per=Y","Days=T","Dir=V")</f>
        <v>0</v>
      </c>
      <c r="C2">
        <f>BDH("SIDU US Equity","BS_TOT_LIAB2","1993-06-18","2026-05-02","Per=Y","Days=T","Dir=V")</f>
        <v>0</v>
      </c>
      <c r="E2">
        <f>BDH("SIDU US Equity","SHORT_AND_LONG_TERM_DEBT","1993-06-18","2026-05-02","Per=Y","Days=T","Dir=V")</f>
        <v>0</v>
      </c>
      <c r="G2">
        <f>BDH("SIDU US Equity","BS_ST_BORROW","1993-06-18","2026-05-02","Per=Y","Days=T","Dir=V")</f>
        <v>0</v>
      </c>
      <c r="I2">
        <f>BDH("SIDU US Equity","BS_LT_BORROW","1993-06-18","2026-05-02","Per=Y","Days=T","Dir=V")</f>
        <v>0</v>
      </c>
      <c r="K2">
        <f>BDH("SIDU US Equity","BS_CASH_NEAR_CASH_ITEM","1993-06-18","2026-05-02","Per=Y","Days=T","Dir=V")</f>
        <v>0</v>
      </c>
      <c r="M2">
        <f>BDH("SIDU US Equity","BS_CUR_ASSET_REPORT","1993-06-18","2026-05-02","Per=Y","Days=T","Dir=V")</f>
        <v>0</v>
      </c>
      <c r="O2">
        <f>BDH("SIDU US Equity","BS_CUR_LIAB","1993-06-18","2026-05-02","Per=Y","Days=T","Dir=V")</f>
        <v>0</v>
      </c>
      <c r="Q2">
        <f>BDH("SIDU US Equity","BS_SHAREHOLDER_EQY_ENDING_PERIOD","1993-06-18","2026-05-02","Per=Y","Days=T","Dir=V")</f>
        <v>0</v>
      </c>
      <c r="S2">
        <f>BDH("SIDU US Equity","BS_ACCT_NOTE_RCV","1993-06-18","2026-05-02","Per=Y","Days=T","Dir=V")</f>
        <v>0</v>
      </c>
      <c r="U2">
        <f>BDH("SIDU US Equity","BS_INVENTORIES","1993-06-18","2026-05-02","Per=Y","Days=T","Dir=V")</f>
        <v>0</v>
      </c>
      <c r="W2">
        <f>BDH("SIDU US Equity","WORKING_CAPITAL","1993-06-18","2026-05-02","Per=Y","Days=T","Dir=V")</f>
        <v>0</v>
      </c>
      <c r="Y2">
        <f>BDH("SIDU US Equity","SALES_REV_TURN","1993-06-18","2026-05-02","Per=Y","Days=T","Dir=V")</f>
        <v>0</v>
      </c>
      <c r="AA2">
        <f>BDH("SIDU US Equity","EBIT","1993-06-18","2026-05-02","Per=Y","Days=T","Dir=V")</f>
        <v>0</v>
      </c>
      <c r="AC2">
        <f>BDH("SIDU US Equity","EBITDA","1993-06-18","2026-05-02","Per=Y","Days=T","Dir=V")</f>
        <v>0</v>
      </c>
      <c r="AE2">
        <f>BDH("SIDU US Equity","NET_INCOME","1993-06-18","2026-05-02","Per=Y","Days=T","Dir=V")</f>
        <v>0</v>
      </c>
      <c r="AG2">
        <f>BDH("SIDU US Equity","IS_INT_EXPENSE","1993-06-18","2026-05-02","Per=Y","Days=T","Dir=V")</f>
        <v>0</v>
      </c>
      <c r="AI2">
        <f>BDH("SIDU US Equity","IS_DEPR_EXP","1993-06-18","2026-05-02","Per=Y","Days=T","Dir=V")</f>
        <v>0</v>
      </c>
      <c r="AK2">
        <f>BDH("SIDU US Equity","CF_CASH_FROM_OPER","1993-06-18","2026-05-02","Per=Y","Days=T","Dir=V")</f>
        <v>0</v>
      </c>
      <c r="AM2">
        <f>BDH("SIDU US Equity","CAPITAL_EXPEND","1993-06-18","2026-05-02","Per=Y","Days=T","Dir=V")</f>
        <v>0</v>
      </c>
      <c r="AO2">
        <f>BDH("SIDU US Equity","CF_FREE_CASH_FLOW","1993-06-18","2026-05-02","Per=Y","Days=T","Dir=V")</f>
        <v>0</v>
      </c>
      <c r="AQ2">
        <f>BDH("SIDU US Equity","PX_LAST","1993-06-18","2026-05-02","Per=M","Days=T","Dir=V")</f>
        <v>0</v>
      </c>
      <c r="AS2">
        <f>BDH("SIDU US Equity","CUR_MKT_CAP","1993-06-18","2026-05-02","Per=M","Days=T","Dir=V")</f>
        <v>0</v>
      </c>
      <c r="AU2">
        <f>BDH("SIDU US Equity","EQY_SH_OUT","1993-06-18","2026-05-02","Per=M","Days=T","Dir=V")</f>
        <v>0</v>
      </c>
      <c r="AW2">
        <f>BDH("SIDU US Equity","PX_VOLUME","1993-06-18","2026-05-02","Per=M","Days=T","Dir=V")</f>
        <v>0</v>
      </c>
      <c r="AY2">
        <f>BDH("SIDU US Equity","TURNOVER","1993-06-18","2026-05-02","Per=M","Days=T","Dir=V")</f>
        <v>0</v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BDH("SIF US Equity","BS_TOT_ASSET","1993-06-18","2026-05-02","Per=Y","Days=T","Dir=V")</f>
        <v>0</v>
      </c>
      <c r="C2">
        <f>BDH("SIF US Equity","BS_TOT_LIAB2","1993-06-18","2026-05-02","Per=Y","Days=T","Dir=V")</f>
        <v>0</v>
      </c>
      <c r="E2">
        <f>BDH("SIF US Equity","SHORT_AND_LONG_TERM_DEBT","1993-06-18","2026-05-02","Per=Y","Days=T","Dir=V")</f>
        <v>0</v>
      </c>
      <c r="G2">
        <f>BDH("SIF US Equity","BS_ST_BORROW","1993-06-18","2026-05-02","Per=Y","Days=T","Dir=V")</f>
        <v>0</v>
      </c>
      <c r="I2">
        <f>BDH("SIF US Equity","BS_LT_BORROW","1993-06-18","2026-05-02","Per=Y","Days=T","Dir=V")</f>
        <v>0</v>
      </c>
      <c r="K2">
        <f>BDH("SIF US Equity","BS_CASH_NEAR_CASH_ITEM","1993-06-18","2026-05-02","Per=Y","Days=T","Dir=V")</f>
        <v>0</v>
      </c>
      <c r="M2">
        <f>BDH("SIF US Equity","BS_CUR_ASSET_REPORT","1993-06-18","2026-05-02","Per=Y","Days=T","Dir=V")</f>
        <v>0</v>
      </c>
      <c r="O2">
        <f>BDH("SIF US Equity","BS_CUR_LIAB","1993-06-18","2026-05-02","Per=Y","Days=T","Dir=V")</f>
        <v>0</v>
      </c>
      <c r="Q2">
        <f>BDH("SIF US Equity","BS_SHAREHOLDER_EQY_ENDING_PERIOD","1993-06-18","2026-05-02","Per=Y","Days=T","Dir=V")</f>
        <v>0</v>
      </c>
      <c r="S2">
        <f>BDH("SIF US Equity","BS_ACCT_NOTE_RCV","1993-06-18","2026-05-02","Per=Y","Days=T","Dir=V")</f>
        <v>0</v>
      </c>
      <c r="U2">
        <f>BDH("SIF US Equity","BS_INVENTORIES","1993-06-18","2026-05-02","Per=Y","Days=T","Dir=V")</f>
        <v>0</v>
      </c>
      <c r="W2">
        <f>BDH("SIF US Equity","WORKING_CAPITAL","1993-06-18","2026-05-02","Per=Y","Days=T","Dir=V")</f>
        <v>0</v>
      </c>
      <c r="Y2">
        <f>BDH("SIF US Equity","SALES_REV_TURN","1993-06-18","2026-05-02","Per=Y","Days=T","Dir=V")</f>
        <v>0</v>
      </c>
      <c r="AA2">
        <f>BDH("SIF US Equity","EBIT","1993-06-18","2026-05-02","Per=Y","Days=T","Dir=V")</f>
        <v>0</v>
      </c>
      <c r="AC2">
        <f>BDH("SIF US Equity","EBITDA","1993-06-18","2026-05-02","Per=Y","Days=T","Dir=V")</f>
        <v>0</v>
      </c>
      <c r="AE2">
        <f>BDH("SIF US Equity","NET_INCOME","1993-06-18","2026-05-02","Per=Y","Days=T","Dir=V")</f>
        <v>0</v>
      </c>
      <c r="AG2">
        <f>BDH("SIF US Equity","IS_INT_EXPENSE","1993-06-18","2026-05-02","Per=Y","Days=T","Dir=V")</f>
        <v>0</v>
      </c>
      <c r="AI2">
        <f>BDH("SIF US Equity","IS_DEPR_EXP","1993-06-18","2026-05-02","Per=Y","Days=T","Dir=V")</f>
        <v>0</v>
      </c>
      <c r="AK2">
        <f>BDH("SIF US Equity","CF_CASH_FROM_OPER","1993-06-18","2026-05-02","Per=Y","Days=T","Dir=V")</f>
        <v>0</v>
      </c>
      <c r="AM2">
        <f>BDH("SIF US Equity","CAPITAL_EXPEND","1993-06-18","2026-05-02","Per=Y","Days=T","Dir=V")</f>
        <v>0</v>
      </c>
      <c r="AO2">
        <f>BDH("SIF US Equity","CF_FREE_CASH_FLOW","1993-06-18","2026-05-02","Per=Y","Days=T","Dir=V")</f>
        <v>0</v>
      </c>
      <c r="AQ2">
        <f>BDH("SIF US Equity","PX_LAST","1993-06-18","2026-05-02","Per=M","Days=T","Dir=V")</f>
        <v>0</v>
      </c>
      <c r="AS2">
        <f>BDH("SIF US Equity","CUR_MKT_CAP","1993-06-18","2026-05-02","Per=M","Days=T","Dir=V")</f>
        <v>0</v>
      </c>
      <c r="AU2">
        <f>BDH("SIF US Equity","EQY_SH_OUT","1993-06-18","2026-05-02","Per=M","Days=T","Dir=V")</f>
        <v>0</v>
      </c>
      <c r="AW2">
        <f>BDH("SIF US Equity","PX_VOLUME","1993-06-18","2026-05-02","Per=M","Days=T","Dir=V")</f>
        <v>0</v>
      </c>
      <c r="AY2">
        <f>BDH("SIF US Equity","TURNOVER","1993-06-18","2026-05-02","Per=M","Days=T","Dir=V")</f>
        <v>0</v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BDH("SIGA US Equity","BS_TOT_ASSET","1993-06-18","2026-05-02","Per=Y","Days=T","Dir=V")</f>
        <v>0</v>
      </c>
      <c r="C2">
        <f>BDH("SIGA US Equity","BS_TOT_LIAB2","1993-06-18","2026-05-02","Per=Y","Days=T","Dir=V")</f>
        <v>0</v>
      </c>
      <c r="E2">
        <f>BDH("SIGA US Equity","SHORT_AND_LONG_TERM_DEBT","1993-06-18","2026-05-02","Per=Y","Days=T","Dir=V")</f>
        <v>0</v>
      </c>
      <c r="G2">
        <f>BDH("SIGA US Equity","BS_ST_BORROW","1993-06-18","2026-05-02","Per=Y","Days=T","Dir=V")</f>
        <v>0</v>
      </c>
      <c r="I2">
        <f>BDH("SIGA US Equity","BS_LT_BORROW","1993-06-18","2026-05-02","Per=Y","Days=T","Dir=V")</f>
        <v>0</v>
      </c>
      <c r="K2">
        <f>BDH("SIGA US Equity","BS_CASH_NEAR_CASH_ITEM","1993-06-18","2026-05-02","Per=Y","Days=T","Dir=V")</f>
        <v>0</v>
      </c>
      <c r="M2">
        <f>BDH("SIGA US Equity","BS_CUR_ASSET_REPORT","1993-06-18","2026-05-02","Per=Y","Days=T","Dir=V")</f>
        <v>0</v>
      </c>
      <c r="O2">
        <f>BDH("SIGA US Equity","BS_CUR_LIAB","1993-06-18","2026-05-02","Per=Y","Days=T","Dir=V")</f>
        <v>0</v>
      </c>
      <c r="Q2">
        <f>BDH("SIGA US Equity","BS_SHAREHOLDER_EQY_ENDING_PERIOD","1993-06-18","2026-05-02","Per=Y","Days=T","Dir=V")</f>
        <v>0</v>
      </c>
      <c r="S2">
        <f>BDH("SIGA US Equity","BS_ACCT_NOTE_RCV","1993-06-18","2026-05-02","Per=Y","Days=T","Dir=V")</f>
        <v>0</v>
      </c>
      <c r="U2">
        <f>BDH("SIGA US Equity","BS_INVENTORIES","1993-06-18","2026-05-02","Per=Y","Days=T","Dir=V")</f>
        <v>0</v>
      </c>
      <c r="W2">
        <f>BDH("SIGA US Equity","WORKING_CAPITAL","1993-06-18","2026-05-02","Per=Y","Days=T","Dir=V")</f>
        <v>0</v>
      </c>
      <c r="Y2">
        <f>BDH("SIGA US Equity","SALES_REV_TURN","1993-06-18","2026-05-02","Per=Y","Days=T","Dir=V")</f>
        <v>0</v>
      </c>
      <c r="AA2">
        <f>BDH("SIGA US Equity","EBIT","1993-06-18","2026-05-02","Per=Y","Days=T","Dir=V")</f>
        <v>0</v>
      </c>
      <c r="AC2">
        <f>BDH("SIGA US Equity","EBITDA","1993-06-18","2026-05-02","Per=Y","Days=T","Dir=V")</f>
        <v>0</v>
      </c>
      <c r="AE2">
        <f>BDH("SIGA US Equity","NET_INCOME","1993-06-18","2026-05-02","Per=Y","Days=T","Dir=V")</f>
        <v>0</v>
      </c>
      <c r="AG2">
        <f>BDH("SIGA US Equity","IS_INT_EXPENSE","1993-06-18","2026-05-02","Per=Y","Days=T","Dir=V")</f>
        <v>0</v>
      </c>
      <c r="AI2">
        <f>BDH("SIGA US Equity","IS_DEPR_EXP","1993-06-18","2026-05-02","Per=Y","Days=T","Dir=V")</f>
        <v>0</v>
      </c>
      <c r="AK2">
        <f>BDH("SIGA US Equity","CF_CASH_FROM_OPER","1993-06-18","2026-05-02","Per=Y","Days=T","Dir=V")</f>
        <v>0</v>
      </c>
      <c r="AM2">
        <f>BDH("SIGA US Equity","CAPITAL_EXPEND","1993-06-18","2026-05-02","Per=Y","Days=T","Dir=V")</f>
        <v>0</v>
      </c>
      <c r="AO2">
        <f>BDH("SIGA US Equity","CF_FREE_CASH_FLOW","1993-06-18","2026-05-02","Per=Y","Days=T","Dir=V")</f>
        <v>0</v>
      </c>
      <c r="AQ2">
        <f>BDH("SIGA US Equity","PX_LAST","1993-06-18","2026-05-02","Per=M","Days=T","Dir=V")</f>
        <v>0</v>
      </c>
      <c r="AS2">
        <f>BDH("SIGA US Equity","CUR_MKT_CAP","1993-06-18","2026-05-02","Per=M","Days=T","Dir=V")</f>
        <v>0</v>
      </c>
      <c r="AU2">
        <f>BDH("SIGA US Equity","EQY_SH_OUT","1993-06-18","2026-05-02","Per=M","Days=T","Dir=V")</f>
        <v>0</v>
      </c>
      <c r="AW2">
        <f>BDH("SIGA US Equity","PX_VOLUME","1993-06-18","2026-05-02","Per=M","Days=T","Dir=V")</f>
        <v>0</v>
      </c>
      <c r="AY2">
        <f>BDH("SIGA US Equity","TURNOVER","1993-06-18","2026-05-02","Per=M","Days=T","Dir=V")</f>
        <v>0</v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BDH("SILO US Equity","BS_TOT_ASSET","1993-06-18","2026-05-02","Per=Y","Days=T","Dir=V")</f>
        <v>0</v>
      </c>
      <c r="C2">
        <f>BDH("SILO US Equity","BS_TOT_LIAB2","1993-06-18","2026-05-02","Per=Y","Days=T","Dir=V")</f>
        <v>0</v>
      </c>
      <c r="E2">
        <f>BDH("SILO US Equity","SHORT_AND_LONG_TERM_DEBT","1993-06-18","2026-05-02","Per=Y","Days=T","Dir=V")</f>
        <v>0</v>
      </c>
      <c r="G2">
        <f>BDH("SILO US Equity","BS_ST_BORROW","1993-06-18","2026-05-02","Per=Y","Days=T","Dir=V")</f>
        <v>0</v>
      </c>
      <c r="I2">
        <f>BDH("SILO US Equity","BS_LT_BORROW","1993-06-18","2026-05-02","Per=Y","Days=T","Dir=V")</f>
        <v>0</v>
      </c>
      <c r="K2">
        <f>BDH("SILO US Equity","BS_CASH_NEAR_CASH_ITEM","1993-06-18","2026-05-02","Per=Y","Days=T","Dir=V")</f>
        <v>0</v>
      </c>
      <c r="M2">
        <f>BDH("SILO US Equity","BS_CUR_ASSET_REPORT","1993-06-18","2026-05-02","Per=Y","Days=T","Dir=V")</f>
        <v>0</v>
      </c>
      <c r="O2">
        <f>BDH("SILO US Equity","BS_CUR_LIAB","1993-06-18","2026-05-02","Per=Y","Days=T","Dir=V")</f>
        <v>0</v>
      </c>
      <c r="Q2">
        <f>BDH("SILO US Equity","BS_SHAREHOLDER_EQY_ENDING_PERIOD","1993-06-18","2026-05-02","Per=Y","Days=T","Dir=V")</f>
        <v>0</v>
      </c>
      <c r="S2">
        <f>BDH("SILO US Equity","BS_ACCT_NOTE_RCV","1993-06-18","2026-05-02","Per=Y","Days=T","Dir=V")</f>
        <v>0</v>
      </c>
      <c r="U2">
        <f>BDH("SILO US Equity","BS_INVENTORIES","1993-06-18","2026-05-02","Per=Y","Days=T","Dir=V")</f>
        <v>0</v>
      </c>
      <c r="W2">
        <f>BDH("SILO US Equity","WORKING_CAPITAL","1993-06-18","2026-05-02","Per=Y","Days=T","Dir=V")</f>
        <v>0</v>
      </c>
      <c r="Y2">
        <f>BDH("SILO US Equity","SALES_REV_TURN","1993-06-18","2026-05-02","Per=Y","Days=T","Dir=V")</f>
        <v>0</v>
      </c>
      <c r="AA2">
        <f>BDH("SILO US Equity","EBIT","1993-06-18","2026-05-02","Per=Y","Days=T","Dir=V")</f>
        <v>0</v>
      </c>
      <c r="AC2">
        <f>BDH("SILO US Equity","EBITDA","1993-06-18","2026-05-02","Per=Y","Days=T","Dir=V")</f>
        <v>0</v>
      </c>
      <c r="AE2">
        <f>BDH("SILO US Equity","NET_INCOME","1993-06-18","2026-05-02","Per=Y","Days=T","Dir=V")</f>
        <v>0</v>
      </c>
      <c r="AG2">
        <f>BDH("SILO US Equity","IS_INT_EXPENSE","1993-06-18","2026-05-02","Per=Y","Days=T","Dir=V")</f>
        <v>0</v>
      </c>
      <c r="AI2">
        <f>BDH("SILO US Equity","IS_DEPR_EXP","1993-06-18","2026-05-02","Per=Y","Days=T","Dir=V")</f>
        <v>0</v>
      </c>
      <c r="AK2">
        <f>BDH("SILO US Equity","CF_CASH_FROM_OPER","1993-06-18","2026-05-02","Per=Y","Days=T","Dir=V")</f>
        <v>0</v>
      </c>
      <c r="AM2">
        <f>BDH("SILO US Equity","CAPITAL_EXPEND","1993-06-18","2026-05-02","Per=Y","Days=T","Dir=V")</f>
        <v>0</v>
      </c>
      <c r="AO2">
        <f>BDH("SILO US Equity","CF_FREE_CASH_FLOW","1993-06-18","2026-05-02","Per=Y","Days=T","Dir=V")</f>
        <v>0</v>
      </c>
      <c r="AQ2">
        <f>BDH("SILO US Equity","PX_LAST","1993-06-18","2026-05-02","Per=M","Days=T","Dir=V")</f>
        <v>0</v>
      </c>
      <c r="AS2">
        <f>BDH("SILO US Equity","CUR_MKT_CAP","1993-06-18","2026-05-02","Per=M","Days=T","Dir=V")</f>
        <v>0</v>
      </c>
      <c r="AU2">
        <f>BDH("SILO US Equity","EQY_SH_OUT","1993-06-18","2026-05-02","Per=M","Days=T","Dir=V")</f>
        <v>0</v>
      </c>
      <c r="AW2">
        <f>BDH("SILO US Equity","PX_VOLUME","1993-06-18","2026-05-02","Per=M","Days=T","Dir=V")</f>
        <v>0</v>
      </c>
      <c r="AY2">
        <f>BDH("SILO US Equity","TURNOVER","1993-06-18","2026-05-02","Per=M","Days=T","Dir=V")</f>
        <v>0</v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BDH("SINT US Equity","BS_TOT_ASSET","1993-06-18","2026-05-02","Per=Y","Days=T","Dir=V")</f>
        <v>0</v>
      </c>
      <c r="C2">
        <f>BDH("SINT US Equity","BS_TOT_LIAB2","1993-06-18","2026-05-02","Per=Y","Days=T","Dir=V")</f>
        <v>0</v>
      </c>
      <c r="E2">
        <f>BDH("SINT US Equity","SHORT_AND_LONG_TERM_DEBT","1993-06-18","2026-05-02","Per=Y","Days=T","Dir=V")</f>
        <v>0</v>
      </c>
      <c r="G2">
        <f>BDH("SINT US Equity","BS_ST_BORROW","1993-06-18","2026-05-02","Per=Y","Days=T","Dir=V")</f>
        <v>0</v>
      </c>
      <c r="I2">
        <f>BDH("SINT US Equity","BS_LT_BORROW","1993-06-18","2026-05-02","Per=Y","Days=T","Dir=V")</f>
        <v>0</v>
      </c>
      <c r="K2">
        <f>BDH("SINT US Equity","BS_CASH_NEAR_CASH_ITEM","1993-06-18","2026-05-02","Per=Y","Days=T","Dir=V")</f>
        <v>0</v>
      </c>
      <c r="M2">
        <f>BDH("SINT US Equity","BS_CUR_ASSET_REPORT","1993-06-18","2026-05-02","Per=Y","Days=T","Dir=V")</f>
        <v>0</v>
      </c>
      <c r="O2">
        <f>BDH("SINT US Equity","BS_CUR_LIAB","1993-06-18","2026-05-02","Per=Y","Days=T","Dir=V")</f>
        <v>0</v>
      </c>
      <c r="Q2">
        <f>BDH("SINT US Equity","BS_SHAREHOLDER_EQY_ENDING_PERIOD","1993-06-18","2026-05-02","Per=Y","Days=T","Dir=V")</f>
        <v>0</v>
      </c>
      <c r="S2">
        <f>BDH("SINT US Equity","BS_ACCT_NOTE_RCV","1993-06-18","2026-05-02","Per=Y","Days=T","Dir=V")</f>
        <v>0</v>
      </c>
      <c r="U2">
        <f>BDH("SINT US Equity","BS_INVENTORIES","1993-06-18","2026-05-02","Per=Y","Days=T","Dir=V")</f>
        <v>0</v>
      </c>
      <c r="W2">
        <f>BDH("SINT US Equity","WORKING_CAPITAL","1993-06-18","2026-05-02","Per=Y","Days=T","Dir=V")</f>
        <v>0</v>
      </c>
      <c r="Y2">
        <f>BDH("SINT US Equity","SALES_REV_TURN","1993-06-18","2026-05-02","Per=Y","Days=T","Dir=V")</f>
        <v>0</v>
      </c>
      <c r="AA2">
        <f>BDH("SINT US Equity","EBIT","1993-06-18","2026-05-02","Per=Y","Days=T","Dir=V")</f>
        <v>0</v>
      </c>
      <c r="AC2">
        <f>BDH("SINT US Equity","EBITDA","1993-06-18","2026-05-02","Per=Y","Days=T","Dir=V")</f>
        <v>0</v>
      </c>
      <c r="AE2">
        <f>BDH("SINT US Equity","NET_INCOME","1993-06-18","2026-05-02","Per=Y","Days=T","Dir=V")</f>
        <v>0</v>
      </c>
      <c r="AG2">
        <f>BDH("SINT US Equity","IS_INT_EXPENSE","1993-06-18","2026-05-02","Per=Y","Days=T","Dir=V")</f>
        <v>0</v>
      </c>
      <c r="AI2">
        <f>BDH("SINT US Equity","IS_DEPR_EXP","1993-06-18","2026-05-02","Per=Y","Days=T","Dir=V")</f>
        <v>0</v>
      </c>
      <c r="AK2">
        <f>BDH("SINT US Equity","CF_CASH_FROM_OPER","1993-06-18","2026-05-02","Per=Y","Days=T","Dir=V")</f>
        <v>0</v>
      </c>
      <c r="AM2">
        <f>BDH("SINT US Equity","CAPITAL_EXPEND","1993-06-18","2026-05-02","Per=Y","Days=T","Dir=V")</f>
        <v>0</v>
      </c>
      <c r="AO2">
        <f>BDH("SINT US Equity","CF_FREE_CASH_FLOW","1993-06-18","2026-05-02","Per=Y","Days=T","Dir=V")</f>
        <v>0</v>
      </c>
      <c r="AQ2">
        <f>BDH("SINT US Equity","PX_LAST","1993-06-18","2026-05-02","Per=M","Days=T","Dir=V")</f>
        <v>0</v>
      </c>
      <c r="AS2">
        <f>BDH("SINT US Equity","CUR_MKT_CAP","1993-06-18","2026-05-02","Per=M","Days=T","Dir=V")</f>
        <v>0</v>
      </c>
      <c r="AU2">
        <f>BDH("SINT US Equity","EQY_SH_OUT","1993-06-18","2026-05-02","Per=M","Days=T","Dir=V")</f>
        <v>0</v>
      </c>
      <c r="AW2">
        <f>BDH("SINT US Equity","PX_VOLUME","1993-06-18","2026-05-02","Per=M","Days=T","Dir=V")</f>
        <v>0</v>
      </c>
      <c r="AY2">
        <f>BDH("SINT US Equity","TURNOVER","1993-06-18","2026-05-02","Per=M","Days=T","Dir=V")</f>
        <v>0</v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BDH("SION US Equity","BS_TOT_ASSET","1993-06-18","2026-05-02","Per=Y","Days=T","Dir=V")</f>
        <v>0</v>
      </c>
      <c r="C2">
        <f>BDH("SION US Equity","BS_TOT_LIAB2","1993-06-18","2026-05-02","Per=Y","Days=T","Dir=V")</f>
        <v>0</v>
      </c>
      <c r="E2">
        <f>BDH("SION US Equity","SHORT_AND_LONG_TERM_DEBT","1993-06-18","2026-05-02","Per=Y","Days=T","Dir=V")</f>
        <v>0</v>
      </c>
      <c r="G2">
        <f>BDH("SION US Equity","BS_ST_BORROW","1993-06-18","2026-05-02","Per=Y","Days=T","Dir=V")</f>
        <v>0</v>
      </c>
      <c r="I2">
        <f>BDH("SION US Equity","BS_LT_BORROW","1993-06-18","2026-05-02","Per=Y","Days=T","Dir=V")</f>
        <v>0</v>
      </c>
      <c r="K2">
        <f>BDH("SION US Equity","BS_CASH_NEAR_CASH_ITEM","1993-06-18","2026-05-02","Per=Y","Days=T","Dir=V")</f>
        <v>0</v>
      </c>
      <c r="M2">
        <f>BDH("SION US Equity","BS_CUR_ASSET_REPORT","1993-06-18","2026-05-02","Per=Y","Days=T","Dir=V")</f>
        <v>0</v>
      </c>
      <c r="O2">
        <f>BDH("SION US Equity","BS_CUR_LIAB","1993-06-18","2026-05-02","Per=Y","Days=T","Dir=V")</f>
        <v>0</v>
      </c>
      <c r="Q2">
        <f>BDH("SION US Equity","BS_SHAREHOLDER_EQY_ENDING_PERIOD","1993-06-18","2026-05-02","Per=Y","Days=T","Dir=V")</f>
        <v>0</v>
      </c>
      <c r="S2">
        <f>BDH("SION US Equity","BS_ACCT_NOTE_RCV","1993-06-18","2026-05-02","Per=Y","Days=T","Dir=V")</f>
        <v>0</v>
      </c>
      <c r="U2">
        <f>BDH("SION US Equity","BS_INVENTORIES","1993-06-18","2026-05-02","Per=Y","Days=T","Dir=V")</f>
        <v>0</v>
      </c>
      <c r="W2">
        <f>BDH("SION US Equity","WORKING_CAPITAL","1993-06-18","2026-05-02","Per=Y","Days=T","Dir=V")</f>
        <v>0</v>
      </c>
      <c r="Y2">
        <f>BDH("SION US Equity","SALES_REV_TURN","1993-06-18","2026-05-02","Per=Y","Days=T","Dir=V")</f>
        <v>0</v>
      </c>
      <c r="AA2">
        <f>BDH("SION US Equity","EBIT","1993-06-18","2026-05-02","Per=Y","Days=T","Dir=V")</f>
        <v>0</v>
      </c>
      <c r="AC2">
        <f>BDH("SION US Equity","EBITDA","1993-06-18","2026-05-02","Per=Y","Days=T","Dir=V")</f>
        <v>0</v>
      </c>
      <c r="AE2">
        <f>BDH("SION US Equity","NET_INCOME","1993-06-18","2026-05-02","Per=Y","Days=T","Dir=V")</f>
        <v>0</v>
      </c>
      <c r="AG2">
        <f>BDH("SION US Equity","IS_INT_EXPENSE","1993-06-18","2026-05-02","Per=Y","Days=T","Dir=V")</f>
        <v>0</v>
      </c>
      <c r="AI2">
        <f>BDH("SION US Equity","IS_DEPR_EXP","1993-06-18","2026-05-02","Per=Y","Days=T","Dir=V")</f>
        <v>0</v>
      </c>
      <c r="AK2">
        <f>BDH("SION US Equity","CF_CASH_FROM_OPER","1993-06-18","2026-05-02","Per=Y","Days=T","Dir=V")</f>
        <v>0</v>
      </c>
      <c r="AM2">
        <f>BDH("SION US Equity","CAPITAL_EXPEND","1993-06-18","2026-05-02","Per=Y","Days=T","Dir=V")</f>
        <v>0</v>
      </c>
      <c r="AO2">
        <f>BDH("SION US Equity","CF_FREE_CASH_FLOW","1993-06-18","2026-05-02","Per=Y","Days=T","Dir=V")</f>
        <v>0</v>
      </c>
      <c r="AQ2">
        <f>BDH("SION US Equity","PX_LAST","1993-06-18","2026-05-02","Per=M","Days=T","Dir=V")</f>
        <v>0</v>
      </c>
      <c r="AS2">
        <f>BDH("SION US Equity","CUR_MKT_CAP","1993-06-18","2026-05-02","Per=M","Days=T","Dir=V")</f>
        <v>0</v>
      </c>
      <c r="AU2">
        <f>BDH("SION US Equity","EQY_SH_OUT","1993-06-18","2026-05-02","Per=M","Days=T","Dir=V")</f>
        <v>0</v>
      </c>
      <c r="AW2">
        <f>BDH("SION US Equity","PX_VOLUME","1993-06-18","2026-05-02","Per=M","Days=T","Dir=V")</f>
        <v>0</v>
      </c>
      <c r="AY2">
        <f>BDH("SION US Equity","TURNOVER","1993-06-18","2026-05-02","Per=M","Days=T","Dir=V")</f>
        <v>0</v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BDH("SIRI US Equity","BS_TOT_ASSET","1993-06-18","2026-05-02","Per=Y","Days=T","Dir=V")</f>
        <v>0</v>
      </c>
      <c r="C2">
        <f>BDH("SIRI US Equity","BS_TOT_LIAB2","1993-06-18","2026-05-02","Per=Y","Days=T","Dir=V")</f>
        <v>0</v>
      </c>
      <c r="E2">
        <f>BDH("SIRI US Equity","SHORT_AND_LONG_TERM_DEBT","1993-06-18","2026-05-02","Per=Y","Days=T","Dir=V")</f>
        <v>0</v>
      </c>
      <c r="G2">
        <f>BDH("SIRI US Equity","BS_ST_BORROW","1993-06-18","2026-05-02","Per=Y","Days=T","Dir=V")</f>
        <v>0</v>
      </c>
      <c r="I2">
        <f>BDH("SIRI US Equity","BS_LT_BORROW","1993-06-18","2026-05-02","Per=Y","Days=T","Dir=V")</f>
        <v>0</v>
      </c>
      <c r="K2">
        <f>BDH("SIRI US Equity","BS_CASH_NEAR_CASH_ITEM","1993-06-18","2026-05-02","Per=Y","Days=T","Dir=V")</f>
        <v>0</v>
      </c>
      <c r="M2">
        <f>BDH("SIRI US Equity","BS_CUR_ASSET_REPORT","1993-06-18","2026-05-02","Per=Y","Days=T","Dir=V")</f>
        <v>0</v>
      </c>
      <c r="O2">
        <f>BDH("SIRI US Equity","BS_CUR_LIAB","1993-06-18","2026-05-02","Per=Y","Days=T","Dir=V")</f>
        <v>0</v>
      </c>
      <c r="Q2">
        <f>BDH("SIRI US Equity","BS_SHAREHOLDER_EQY_ENDING_PERIOD","1993-06-18","2026-05-02","Per=Y","Days=T","Dir=V")</f>
        <v>0</v>
      </c>
      <c r="S2">
        <f>BDH("SIRI US Equity","BS_ACCT_NOTE_RCV","1993-06-18","2026-05-02","Per=Y","Days=T","Dir=V")</f>
        <v>0</v>
      </c>
      <c r="U2">
        <f>BDH("SIRI US Equity","BS_INVENTORIES","1993-06-18","2026-05-02","Per=Y","Days=T","Dir=V")</f>
        <v>0</v>
      </c>
      <c r="W2">
        <f>BDH("SIRI US Equity","WORKING_CAPITAL","1993-06-18","2026-05-02","Per=Y","Days=T","Dir=V")</f>
        <v>0</v>
      </c>
      <c r="Y2">
        <f>BDH("SIRI US Equity","SALES_REV_TURN","1993-06-18","2026-05-02","Per=Y","Days=T","Dir=V")</f>
        <v>0</v>
      </c>
      <c r="AA2">
        <f>BDH("SIRI US Equity","EBIT","1993-06-18","2026-05-02","Per=Y","Days=T","Dir=V")</f>
        <v>0</v>
      </c>
      <c r="AC2">
        <f>BDH("SIRI US Equity","EBITDA","1993-06-18","2026-05-02","Per=Y","Days=T","Dir=V")</f>
        <v>0</v>
      </c>
      <c r="AE2">
        <f>BDH("SIRI US Equity","NET_INCOME","1993-06-18","2026-05-02","Per=Y","Days=T","Dir=V")</f>
        <v>0</v>
      </c>
      <c r="AG2">
        <f>BDH("SIRI US Equity","IS_INT_EXPENSE","1993-06-18","2026-05-02","Per=Y","Days=T","Dir=V")</f>
        <v>0</v>
      </c>
      <c r="AI2">
        <f>BDH("SIRI US Equity","IS_DEPR_EXP","1993-06-18","2026-05-02","Per=Y","Days=T","Dir=V")</f>
        <v>0</v>
      </c>
      <c r="AK2">
        <f>BDH("SIRI US Equity","CF_CASH_FROM_OPER","1993-06-18","2026-05-02","Per=Y","Days=T","Dir=V")</f>
        <v>0</v>
      </c>
      <c r="AM2">
        <f>BDH("SIRI US Equity","CAPITAL_EXPEND","1993-06-18","2026-05-02","Per=Y","Days=T","Dir=V")</f>
        <v>0</v>
      </c>
      <c r="AO2">
        <f>BDH("SIRI US Equity","CF_FREE_CASH_FLOW","1993-06-18","2026-05-02","Per=Y","Days=T","Dir=V")</f>
        <v>0</v>
      </c>
      <c r="AQ2">
        <f>BDH("SIRI US Equity","PX_LAST","1993-06-18","2026-05-02","Per=M","Days=T","Dir=V")</f>
        <v>0</v>
      </c>
      <c r="AS2">
        <f>BDH("SIRI US Equity","CUR_MKT_CAP","1993-06-18","2026-05-02","Per=M","Days=T","Dir=V")</f>
        <v>0</v>
      </c>
      <c r="AU2">
        <f>BDH("SIRI US Equity","EQY_SH_OUT","1993-06-18","2026-05-02","Per=M","Days=T","Dir=V")</f>
        <v>0</v>
      </c>
      <c r="AW2">
        <f>BDH("SIRI US Equity","PX_VOLUME","1993-06-18","2026-05-02","Per=M","Days=T","Dir=V")</f>
        <v>0</v>
      </c>
      <c r="AY2">
        <f>BDH("SIRI US Equity","TURNOVER","1993-06-18","2026-05-02","Per=M","Days=T","Dir=V")</f>
        <v>0</v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BDH("SITE US Equity","BS_TOT_ASSET","1993-06-18","2026-05-02","Per=Y","Days=T","Dir=V")</f>
        <v>0</v>
      </c>
      <c r="C2">
        <f>BDH("SITE US Equity","BS_TOT_LIAB2","1993-06-18","2026-05-02","Per=Y","Days=T","Dir=V")</f>
        <v>0</v>
      </c>
      <c r="E2">
        <f>BDH("SITE US Equity","SHORT_AND_LONG_TERM_DEBT","1993-06-18","2026-05-02","Per=Y","Days=T","Dir=V")</f>
        <v>0</v>
      </c>
      <c r="G2">
        <f>BDH("SITE US Equity","BS_ST_BORROW","1993-06-18","2026-05-02","Per=Y","Days=T","Dir=V")</f>
        <v>0</v>
      </c>
      <c r="I2">
        <f>BDH("SITE US Equity","BS_LT_BORROW","1993-06-18","2026-05-02","Per=Y","Days=T","Dir=V")</f>
        <v>0</v>
      </c>
      <c r="K2">
        <f>BDH("SITE US Equity","BS_CASH_NEAR_CASH_ITEM","1993-06-18","2026-05-02","Per=Y","Days=T","Dir=V")</f>
        <v>0</v>
      </c>
      <c r="M2">
        <f>BDH("SITE US Equity","BS_CUR_ASSET_REPORT","1993-06-18","2026-05-02","Per=Y","Days=T","Dir=V")</f>
        <v>0</v>
      </c>
      <c r="O2">
        <f>BDH("SITE US Equity","BS_CUR_LIAB","1993-06-18","2026-05-02","Per=Y","Days=T","Dir=V")</f>
        <v>0</v>
      </c>
      <c r="Q2">
        <f>BDH("SITE US Equity","BS_SHAREHOLDER_EQY_ENDING_PERIOD","1993-06-18","2026-05-02","Per=Y","Days=T","Dir=V")</f>
        <v>0</v>
      </c>
      <c r="S2">
        <f>BDH("SITE US Equity","BS_ACCT_NOTE_RCV","1993-06-18","2026-05-02","Per=Y","Days=T","Dir=V")</f>
        <v>0</v>
      </c>
      <c r="U2">
        <f>BDH("SITE US Equity","BS_INVENTORIES","1993-06-18","2026-05-02","Per=Y","Days=T","Dir=V")</f>
        <v>0</v>
      </c>
      <c r="W2">
        <f>BDH("SITE US Equity","WORKING_CAPITAL","1993-06-18","2026-05-02","Per=Y","Days=T","Dir=V")</f>
        <v>0</v>
      </c>
      <c r="Y2">
        <f>BDH("SITE US Equity","SALES_REV_TURN","1993-06-18","2026-05-02","Per=Y","Days=T","Dir=V")</f>
        <v>0</v>
      </c>
      <c r="AA2">
        <f>BDH("SITE US Equity","EBIT","1993-06-18","2026-05-02","Per=Y","Days=T","Dir=V")</f>
        <v>0</v>
      </c>
      <c r="AC2">
        <f>BDH("SITE US Equity","EBITDA","1993-06-18","2026-05-02","Per=Y","Days=T","Dir=V")</f>
        <v>0</v>
      </c>
      <c r="AE2">
        <f>BDH("SITE US Equity","NET_INCOME","1993-06-18","2026-05-02","Per=Y","Days=T","Dir=V")</f>
        <v>0</v>
      </c>
      <c r="AG2">
        <f>BDH("SITE US Equity","IS_INT_EXPENSE","1993-06-18","2026-05-02","Per=Y","Days=T","Dir=V")</f>
        <v>0</v>
      </c>
      <c r="AI2">
        <f>BDH("SITE US Equity","IS_DEPR_EXP","1993-06-18","2026-05-02","Per=Y","Days=T","Dir=V")</f>
        <v>0</v>
      </c>
      <c r="AK2">
        <f>BDH("SITE US Equity","CF_CASH_FROM_OPER","1993-06-18","2026-05-02","Per=Y","Days=T","Dir=V")</f>
        <v>0</v>
      </c>
      <c r="AM2">
        <f>BDH("SITE US Equity","CAPITAL_EXPEND","1993-06-18","2026-05-02","Per=Y","Days=T","Dir=V")</f>
        <v>0</v>
      </c>
      <c r="AO2">
        <f>BDH("SITE US Equity","CF_FREE_CASH_FLOW","1993-06-18","2026-05-02","Per=Y","Days=T","Dir=V")</f>
        <v>0</v>
      </c>
      <c r="AQ2">
        <f>BDH("SITE US Equity","PX_LAST","1993-06-18","2026-05-02","Per=M","Days=T","Dir=V")</f>
        <v>0</v>
      </c>
      <c r="AS2">
        <f>BDH("SITE US Equity","CUR_MKT_CAP","1993-06-18","2026-05-02","Per=M","Days=T","Dir=V")</f>
        <v>0</v>
      </c>
      <c r="AU2">
        <f>BDH("SITE US Equity","EQY_SH_OUT","1993-06-18","2026-05-02","Per=M","Days=T","Dir=V")</f>
        <v>0</v>
      </c>
      <c r="AW2">
        <f>BDH("SITE US Equity","PX_VOLUME","1993-06-18","2026-05-02","Per=M","Days=T","Dir=V")</f>
        <v>0</v>
      </c>
      <c r="AY2">
        <f>BDH("SITE US Equity","TURNOVER","1993-06-18","2026-05-02","Per=M","Days=T","Dir=V")</f>
        <v>0</v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BDH("SITM US Equity","BS_TOT_ASSET","1993-06-18","2026-05-02","Per=Y","Days=T","Dir=V")</f>
        <v>0</v>
      </c>
      <c r="C2">
        <f>BDH("SITM US Equity","BS_TOT_LIAB2","1993-06-18","2026-05-02","Per=Y","Days=T","Dir=V")</f>
        <v>0</v>
      </c>
      <c r="E2">
        <f>BDH("SITM US Equity","SHORT_AND_LONG_TERM_DEBT","1993-06-18","2026-05-02","Per=Y","Days=T","Dir=V")</f>
        <v>0</v>
      </c>
      <c r="G2">
        <f>BDH("SITM US Equity","BS_ST_BORROW","1993-06-18","2026-05-02","Per=Y","Days=T","Dir=V")</f>
        <v>0</v>
      </c>
      <c r="I2">
        <f>BDH("SITM US Equity","BS_LT_BORROW","1993-06-18","2026-05-02","Per=Y","Days=T","Dir=V")</f>
        <v>0</v>
      </c>
      <c r="K2">
        <f>BDH("SITM US Equity","BS_CASH_NEAR_CASH_ITEM","1993-06-18","2026-05-02","Per=Y","Days=T","Dir=V")</f>
        <v>0</v>
      </c>
      <c r="M2">
        <f>BDH("SITM US Equity","BS_CUR_ASSET_REPORT","1993-06-18","2026-05-02","Per=Y","Days=T","Dir=V")</f>
        <v>0</v>
      </c>
      <c r="O2">
        <f>BDH("SITM US Equity","BS_CUR_LIAB","1993-06-18","2026-05-02","Per=Y","Days=T","Dir=V")</f>
        <v>0</v>
      </c>
      <c r="Q2">
        <f>BDH("SITM US Equity","BS_SHAREHOLDER_EQY_ENDING_PERIOD","1993-06-18","2026-05-02","Per=Y","Days=T","Dir=V")</f>
        <v>0</v>
      </c>
      <c r="S2">
        <f>BDH("SITM US Equity","BS_ACCT_NOTE_RCV","1993-06-18","2026-05-02","Per=Y","Days=T","Dir=V")</f>
        <v>0</v>
      </c>
      <c r="U2">
        <f>BDH("SITM US Equity","BS_INVENTORIES","1993-06-18","2026-05-02","Per=Y","Days=T","Dir=V")</f>
        <v>0</v>
      </c>
      <c r="W2">
        <f>BDH("SITM US Equity","WORKING_CAPITAL","1993-06-18","2026-05-02","Per=Y","Days=T","Dir=V")</f>
        <v>0</v>
      </c>
      <c r="Y2">
        <f>BDH("SITM US Equity","SALES_REV_TURN","1993-06-18","2026-05-02","Per=Y","Days=T","Dir=V")</f>
        <v>0</v>
      </c>
      <c r="AA2">
        <f>BDH("SITM US Equity","EBIT","1993-06-18","2026-05-02","Per=Y","Days=T","Dir=V")</f>
        <v>0</v>
      </c>
      <c r="AC2">
        <f>BDH("SITM US Equity","EBITDA","1993-06-18","2026-05-02","Per=Y","Days=T","Dir=V")</f>
        <v>0</v>
      </c>
      <c r="AE2">
        <f>BDH("SITM US Equity","NET_INCOME","1993-06-18","2026-05-02","Per=Y","Days=T","Dir=V")</f>
        <v>0</v>
      </c>
      <c r="AG2">
        <f>BDH("SITM US Equity","IS_INT_EXPENSE","1993-06-18","2026-05-02","Per=Y","Days=T","Dir=V")</f>
        <v>0</v>
      </c>
      <c r="AI2">
        <f>BDH("SITM US Equity","IS_DEPR_EXP","1993-06-18","2026-05-02","Per=Y","Days=T","Dir=V")</f>
        <v>0</v>
      </c>
      <c r="AK2">
        <f>BDH("SITM US Equity","CF_CASH_FROM_OPER","1993-06-18","2026-05-02","Per=Y","Days=T","Dir=V")</f>
        <v>0</v>
      </c>
      <c r="AM2">
        <f>BDH("SITM US Equity","CAPITAL_EXPEND","1993-06-18","2026-05-02","Per=Y","Days=T","Dir=V")</f>
        <v>0</v>
      </c>
      <c r="AO2">
        <f>BDH("SITM US Equity","CF_FREE_CASH_FLOW","1993-06-18","2026-05-02","Per=Y","Days=T","Dir=V")</f>
        <v>0</v>
      </c>
      <c r="AQ2">
        <f>BDH("SITM US Equity","PX_LAST","1993-06-18","2026-05-02","Per=M","Days=T","Dir=V")</f>
        <v>0</v>
      </c>
      <c r="AS2">
        <f>BDH("SITM US Equity","CUR_MKT_CAP","1993-06-18","2026-05-02","Per=M","Days=T","Dir=V")</f>
        <v>0</v>
      </c>
      <c r="AU2">
        <f>BDH("SITM US Equity","EQY_SH_OUT","1993-06-18","2026-05-02","Per=M","Days=T","Dir=V")</f>
        <v>0</v>
      </c>
      <c r="AW2">
        <f>BDH("SITM US Equity","PX_VOLUME","1993-06-18","2026-05-02","Per=M","Days=T","Dir=V")</f>
        <v>0</v>
      </c>
      <c r="AY2">
        <f>BDH("SITM US Equity","TURNOVER","1993-06-18","2026-05-02","Per=M","Days=T","Dir=V")</f>
        <v>0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BDH("SJM US Equity","BS_TOT_ASSET","1993-06-18","2026-05-02","Per=Y","Days=T","Dir=V")</f>
        <v>0</v>
      </c>
      <c r="C2">
        <f>BDH("SJM US Equity","BS_TOT_LIAB2","1993-06-18","2026-05-02","Per=Y","Days=T","Dir=V")</f>
        <v>0</v>
      </c>
      <c r="E2">
        <f>BDH("SJM US Equity","SHORT_AND_LONG_TERM_DEBT","1993-06-18","2026-05-02","Per=Y","Days=T","Dir=V")</f>
        <v>0</v>
      </c>
      <c r="G2">
        <f>BDH("SJM US Equity","BS_ST_BORROW","1993-06-18","2026-05-02","Per=Y","Days=T","Dir=V")</f>
        <v>0</v>
      </c>
      <c r="I2">
        <f>BDH("SJM US Equity","BS_LT_BORROW","1993-06-18","2026-05-02","Per=Y","Days=T","Dir=V")</f>
        <v>0</v>
      </c>
      <c r="K2">
        <f>BDH("SJM US Equity","BS_CASH_NEAR_CASH_ITEM","1993-06-18","2026-05-02","Per=Y","Days=T","Dir=V")</f>
        <v>0</v>
      </c>
      <c r="M2">
        <f>BDH("SJM US Equity","BS_CUR_ASSET_REPORT","1993-06-18","2026-05-02","Per=Y","Days=T","Dir=V")</f>
        <v>0</v>
      </c>
      <c r="O2">
        <f>BDH("SJM US Equity","BS_CUR_LIAB","1993-06-18","2026-05-02","Per=Y","Days=T","Dir=V")</f>
        <v>0</v>
      </c>
      <c r="Q2">
        <f>BDH("SJM US Equity","BS_SHAREHOLDER_EQY_ENDING_PERIOD","1993-06-18","2026-05-02","Per=Y","Days=T","Dir=V")</f>
        <v>0</v>
      </c>
      <c r="S2">
        <f>BDH("SJM US Equity","BS_ACCT_NOTE_RCV","1993-06-18","2026-05-02","Per=Y","Days=T","Dir=V")</f>
        <v>0</v>
      </c>
      <c r="U2">
        <f>BDH("SJM US Equity","BS_INVENTORIES","1993-06-18","2026-05-02","Per=Y","Days=T","Dir=V")</f>
        <v>0</v>
      </c>
      <c r="W2">
        <f>BDH("SJM US Equity","WORKING_CAPITAL","1993-06-18","2026-05-02","Per=Y","Days=T","Dir=V")</f>
        <v>0</v>
      </c>
      <c r="Y2">
        <f>BDH("SJM US Equity","SALES_REV_TURN","1993-06-18","2026-05-02","Per=Y","Days=T","Dir=V")</f>
        <v>0</v>
      </c>
      <c r="AA2">
        <f>BDH("SJM US Equity","EBIT","1993-06-18","2026-05-02","Per=Y","Days=T","Dir=V")</f>
        <v>0</v>
      </c>
      <c r="AC2">
        <f>BDH("SJM US Equity","EBITDA","1993-06-18","2026-05-02","Per=Y","Days=T","Dir=V")</f>
        <v>0</v>
      </c>
      <c r="AE2">
        <f>BDH("SJM US Equity","NET_INCOME","1993-06-18","2026-05-02","Per=Y","Days=T","Dir=V")</f>
        <v>0</v>
      </c>
      <c r="AG2">
        <f>BDH("SJM US Equity","IS_INT_EXPENSE","1993-06-18","2026-05-02","Per=Y","Days=T","Dir=V")</f>
        <v>0</v>
      </c>
      <c r="AI2">
        <f>BDH("SJM US Equity","IS_DEPR_EXP","1993-06-18","2026-05-02","Per=Y","Days=T","Dir=V")</f>
        <v>0</v>
      </c>
      <c r="AK2">
        <f>BDH("SJM US Equity","CF_CASH_FROM_OPER","1993-06-18","2026-05-02","Per=Y","Days=T","Dir=V")</f>
        <v>0</v>
      </c>
      <c r="AM2">
        <f>BDH("SJM US Equity","CAPITAL_EXPEND","1993-06-18","2026-05-02","Per=Y","Days=T","Dir=V")</f>
        <v>0</v>
      </c>
      <c r="AO2">
        <f>BDH("SJM US Equity","CF_FREE_CASH_FLOW","1993-06-18","2026-05-02","Per=Y","Days=T","Dir=V")</f>
        <v>0</v>
      </c>
      <c r="AQ2">
        <f>BDH("SJM US Equity","PX_LAST","1993-06-18","2026-05-02","Per=M","Days=T","Dir=V")</f>
        <v>0</v>
      </c>
      <c r="AS2">
        <f>BDH("SJM US Equity","CUR_MKT_CAP","1993-06-18","2026-05-02","Per=M","Days=T","Dir=V")</f>
        <v>0</v>
      </c>
      <c r="AU2">
        <f>BDH("SJM US Equity","EQY_SH_OUT","1993-06-18","2026-05-02","Per=M","Days=T","Dir=V")</f>
        <v>0</v>
      </c>
      <c r="AW2">
        <f>BDH("SJM US Equity","PX_VOLUME","1993-06-18","2026-05-02","Per=M","Days=T","Dir=V")</f>
        <v>0</v>
      </c>
      <c r="AY2">
        <f>BDH("SJM US Equity","TURNOVER","1993-06-18","2026-05-02","Per=M","Days=T","Dir=V")</f>
        <v>0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BDH("SJT US Equity","BS_TOT_ASSET","1993-06-18","2026-05-02","Per=Y","Days=T","Dir=V")</f>
        <v>0</v>
      </c>
      <c r="C2">
        <f>BDH("SJT US Equity","BS_TOT_LIAB2","1993-06-18","2026-05-02","Per=Y","Days=T","Dir=V")</f>
        <v>0</v>
      </c>
      <c r="E2">
        <f>BDH("SJT US Equity","SHORT_AND_LONG_TERM_DEBT","1993-06-18","2026-05-02","Per=Y","Days=T","Dir=V")</f>
        <v>0</v>
      </c>
      <c r="G2">
        <f>BDH("SJT US Equity","BS_ST_BORROW","1993-06-18","2026-05-02","Per=Y","Days=T","Dir=V")</f>
        <v>0</v>
      </c>
      <c r="I2">
        <f>BDH("SJT US Equity","BS_LT_BORROW","1993-06-18","2026-05-02","Per=Y","Days=T","Dir=V")</f>
        <v>0</v>
      </c>
      <c r="K2">
        <f>BDH("SJT US Equity","BS_CASH_NEAR_CASH_ITEM","1993-06-18","2026-05-02","Per=Y","Days=T","Dir=V")</f>
        <v>0</v>
      </c>
      <c r="M2">
        <f>BDH("SJT US Equity","BS_CUR_ASSET_REPORT","1993-06-18","2026-05-02","Per=Y","Days=T","Dir=V")</f>
        <v>0</v>
      </c>
      <c r="O2">
        <f>BDH("SJT US Equity","BS_CUR_LIAB","1993-06-18","2026-05-02","Per=Y","Days=T","Dir=V")</f>
        <v>0</v>
      </c>
      <c r="Q2">
        <f>BDH("SJT US Equity","BS_SHAREHOLDER_EQY_ENDING_PERIOD","1993-06-18","2026-05-02","Per=Y","Days=T","Dir=V")</f>
        <v>0</v>
      </c>
      <c r="S2">
        <f>BDH("SJT US Equity","BS_ACCT_NOTE_RCV","1993-06-18","2026-05-02","Per=Y","Days=T","Dir=V")</f>
        <v>0</v>
      </c>
      <c r="U2">
        <f>BDH("SJT US Equity","BS_INVENTORIES","1993-06-18","2026-05-02","Per=Y","Days=T","Dir=V")</f>
        <v>0</v>
      </c>
      <c r="W2">
        <f>BDH("SJT US Equity","WORKING_CAPITAL","1993-06-18","2026-05-02","Per=Y","Days=T","Dir=V")</f>
        <v>0</v>
      </c>
      <c r="Y2">
        <f>BDH("SJT US Equity","SALES_REV_TURN","1993-06-18","2026-05-02","Per=Y","Days=T","Dir=V")</f>
        <v>0</v>
      </c>
      <c r="AA2">
        <f>BDH("SJT US Equity","EBIT","1993-06-18","2026-05-02","Per=Y","Days=T","Dir=V")</f>
        <v>0</v>
      </c>
      <c r="AC2">
        <f>BDH("SJT US Equity","EBITDA","1993-06-18","2026-05-02","Per=Y","Days=T","Dir=V")</f>
        <v>0</v>
      </c>
      <c r="AE2">
        <f>BDH("SJT US Equity","NET_INCOME","1993-06-18","2026-05-02","Per=Y","Days=T","Dir=V")</f>
        <v>0</v>
      </c>
      <c r="AG2">
        <f>BDH("SJT US Equity","IS_INT_EXPENSE","1993-06-18","2026-05-02","Per=Y","Days=T","Dir=V")</f>
        <v>0</v>
      </c>
      <c r="AI2">
        <f>BDH("SJT US Equity","IS_DEPR_EXP","1993-06-18","2026-05-02","Per=Y","Days=T","Dir=V")</f>
        <v>0</v>
      </c>
      <c r="AK2">
        <f>BDH("SJT US Equity","CF_CASH_FROM_OPER","1993-06-18","2026-05-02","Per=Y","Days=T","Dir=V")</f>
        <v>0</v>
      </c>
      <c r="AM2">
        <f>BDH("SJT US Equity","CAPITAL_EXPEND","1993-06-18","2026-05-02","Per=Y","Days=T","Dir=V")</f>
        <v>0</v>
      </c>
      <c r="AO2">
        <f>BDH("SJT US Equity","CF_FREE_CASH_FLOW","1993-06-18","2026-05-02","Per=Y","Days=T","Dir=V")</f>
        <v>0</v>
      </c>
      <c r="AQ2">
        <f>BDH("SJT US Equity","PX_LAST","1993-06-18","2026-05-02","Per=M","Days=T","Dir=V")</f>
        <v>0</v>
      </c>
      <c r="AS2">
        <f>BDH("SJT US Equity","CUR_MKT_CAP","1993-06-18","2026-05-02","Per=M","Days=T","Dir=V")</f>
        <v>0</v>
      </c>
      <c r="AU2">
        <f>BDH("SJT US Equity","EQY_SH_OUT","1993-06-18","2026-05-02","Per=M","Days=T","Dir=V")</f>
        <v>0</v>
      </c>
      <c r="AW2">
        <f>BDH("SJT US Equity","PX_VOLUME","1993-06-18","2026-05-02","Per=M","Days=T","Dir=V")</f>
        <v>0</v>
      </c>
      <c r="AY2">
        <f>BDH("SJT US Equity","TURNOVER","1993-06-18","2026-05-02","Per=M","Days=T","Dir=V")</f>
        <v>0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BDH("SKIL US Equity","BS_TOT_ASSET","1993-06-18","2026-05-02","Per=Y","Days=T","Dir=V")</f>
        <v>0</v>
      </c>
      <c r="C2">
        <f>BDH("SKIL US Equity","BS_TOT_LIAB2","1993-06-18","2026-05-02","Per=Y","Days=T","Dir=V")</f>
        <v>0</v>
      </c>
      <c r="E2">
        <f>BDH("SKIL US Equity","SHORT_AND_LONG_TERM_DEBT","1993-06-18","2026-05-02","Per=Y","Days=T","Dir=V")</f>
        <v>0</v>
      </c>
      <c r="G2">
        <f>BDH("SKIL US Equity","BS_ST_BORROW","1993-06-18","2026-05-02","Per=Y","Days=T","Dir=V")</f>
        <v>0</v>
      </c>
      <c r="I2">
        <f>BDH("SKIL US Equity","BS_LT_BORROW","1993-06-18","2026-05-02","Per=Y","Days=T","Dir=V")</f>
        <v>0</v>
      </c>
      <c r="K2">
        <f>BDH("SKIL US Equity","BS_CASH_NEAR_CASH_ITEM","1993-06-18","2026-05-02","Per=Y","Days=T","Dir=V")</f>
        <v>0</v>
      </c>
      <c r="M2">
        <f>BDH("SKIL US Equity","BS_CUR_ASSET_REPORT","1993-06-18","2026-05-02","Per=Y","Days=T","Dir=V")</f>
        <v>0</v>
      </c>
      <c r="O2">
        <f>BDH("SKIL US Equity","BS_CUR_LIAB","1993-06-18","2026-05-02","Per=Y","Days=T","Dir=V")</f>
        <v>0</v>
      </c>
      <c r="Q2">
        <f>BDH("SKIL US Equity","BS_SHAREHOLDER_EQY_ENDING_PERIOD","1993-06-18","2026-05-02","Per=Y","Days=T","Dir=V")</f>
        <v>0</v>
      </c>
      <c r="S2">
        <f>BDH("SKIL US Equity","BS_ACCT_NOTE_RCV","1993-06-18","2026-05-02","Per=Y","Days=T","Dir=V")</f>
        <v>0</v>
      </c>
      <c r="U2">
        <f>BDH("SKIL US Equity","BS_INVENTORIES","1993-06-18","2026-05-02","Per=Y","Days=T","Dir=V")</f>
        <v>0</v>
      </c>
      <c r="W2">
        <f>BDH("SKIL US Equity","WORKING_CAPITAL","1993-06-18","2026-05-02","Per=Y","Days=T","Dir=V")</f>
        <v>0</v>
      </c>
      <c r="Y2">
        <f>BDH("SKIL US Equity","SALES_REV_TURN","1993-06-18","2026-05-02","Per=Y","Days=T","Dir=V")</f>
        <v>0</v>
      </c>
      <c r="AA2">
        <f>BDH("SKIL US Equity","EBIT","1993-06-18","2026-05-02","Per=Y","Days=T","Dir=V")</f>
        <v>0</v>
      </c>
      <c r="AC2">
        <f>BDH("SKIL US Equity","EBITDA","1993-06-18","2026-05-02","Per=Y","Days=T","Dir=V")</f>
        <v>0</v>
      </c>
      <c r="AE2">
        <f>BDH("SKIL US Equity","NET_INCOME","1993-06-18","2026-05-02","Per=Y","Days=T","Dir=V")</f>
        <v>0</v>
      </c>
      <c r="AG2">
        <f>BDH("SKIL US Equity","IS_INT_EXPENSE","1993-06-18","2026-05-02","Per=Y","Days=T","Dir=V")</f>
        <v>0</v>
      </c>
      <c r="AI2">
        <f>BDH("SKIL US Equity","IS_DEPR_EXP","1993-06-18","2026-05-02","Per=Y","Days=T","Dir=V")</f>
        <v>0</v>
      </c>
      <c r="AK2">
        <f>BDH("SKIL US Equity","CF_CASH_FROM_OPER","1993-06-18","2026-05-02","Per=Y","Days=T","Dir=V")</f>
        <v>0</v>
      </c>
      <c r="AM2">
        <f>BDH("SKIL US Equity","CAPITAL_EXPEND","1993-06-18","2026-05-02","Per=Y","Days=T","Dir=V")</f>
        <v>0</v>
      </c>
      <c r="AO2">
        <f>BDH("SKIL US Equity","CF_FREE_CASH_FLOW","1993-06-18","2026-05-02","Per=Y","Days=T","Dir=V")</f>
        <v>0</v>
      </c>
      <c r="AQ2">
        <f>BDH("SKIL US Equity","PX_LAST","1993-06-18","2026-05-02","Per=M","Days=T","Dir=V")</f>
        <v>0</v>
      </c>
      <c r="AS2">
        <f>BDH("SKIL US Equity","CUR_MKT_CAP","1993-06-18","2026-05-02","Per=M","Days=T","Dir=V")</f>
        <v>0</v>
      </c>
      <c r="AU2">
        <f>BDH("SKIL US Equity","EQY_SH_OUT","1993-06-18","2026-05-02","Per=M","Days=T","Dir=V")</f>
        <v>0</v>
      </c>
      <c r="AW2">
        <f>BDH("SKIL US Equity","PX_VOLUME","1993-06-18","2026-05-02","Per=M","Days=T","Dir=V")</f>
        <v>0</v>
      </c>
      <c r="AY2">
        <f>BDH("SKIL US Equity","TURNOVER","1993-06-18","2026-05-02","Per=M","Days=T","Dir=V")</f>
        <v>0</v>
      </c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BDH("SKIN US Equity","BS_TOT_ASSET","1993-06-18","2026-05-02","Per=Y","Days=T","Dir=V")</f>
        <v>0</v>
      </c>
      <c r="C2">
        <f>BDH("SKIN US Equity","BS_TOT_LIAB2","1993-06-18","2026-05-02","Per=Y","Days=T","Dir=V")</f>
        <v>0</v>
      </c>
      <c r="E2">
        <f>BDH("SKIN US Equity","SHORT_AND_LONG_TERM_DEBT","1993-06-18","2026-05-02","Per=Y","Days=T","Dir=V")</f>
        <v>0</v>
      </c>
      <c r="G2">
        <f>BDH("SKIN US Equity","BS_ST_BORROW","1993-06-18","2026-05-02","Per=Y","Days=T","Dir=V")</f>
        <v>0</v>
      </c>
      <c r="I2">
        <f>BDH("SKIN US Equity","BS_LT_BORROW","1993-06-18","2026-05-02","Per=Y","Days=T","Dir=V")</f>
        <v>0</v>
      </c>
      <c r="K2">
        <f>BDH("SKIN US Equity","BS_CASH_NEAR_CASH_ITEM","1993-06-18","2026-05-02","Per=Y","Days=T","Dir=V")</f>
        <v>0</v>
      </c>
      <c r="M2">
        <f>BDH("SKIN US Equity","BS_CUR_ASSET_REPORT","1993-06-18","2026-05-02","Per=Y","Days=T","Dir=V")</f>
        <v>0</v>
      </c>
      <c r="O2">
        <f>BDH("SKIN US Equity","BS_CUR_LIAB","1993-06-18","2026-05-02","Per=Y","Days=T","Dir=V")</f>
        <v>0</v>
      </c>
      <c r="Q2">
        <f>BDH("SKIN US Equity","BS_SHAREHOLDER_EQY_ENDING_PERIOD","1993-06-18","2026-05-02","Per=Y","Days=T","Dir=V")</f>
        <v>0</v>
      </c>
      <c r="S2">
        <f>BDH("SKIN US Equity","BS_ACCT_NOTE_RCV","1993-06-18","2026-05-02","Per=Y","Days=T","Dir=V")</f>
        <v>0</v>
      </c>
      <c r="U2">
        <f>BDH("SKIN US Equity","BS_INVENTORIES","1993-06-18","2026-05-02","Per=Y","Days=T","Dir=V")</f>
        <v>0</v>
      </c>
      <c r="W2">
        <f>BDH("SKIN US Equity","WORKING_CAPITAL","1993-06-18","2026-05-02","Per=Y","Days=T","Dir=V")</f>
        <v>0</v>
      </c>
      <c r="Y2">
        <f>BDH("SKIN US Equity","SALES_REV_TURN","1993-06-18","2026-05-02","Per=Y","Days=T","Dir=V")</f>
        <v>0</v>
      </c>
      <c r="AA2">
        <f>BDH("SKIN US Equity","EBIT","1993-06-18","2026-05-02","Per=Y","Days=T","Dir=V")</f>
        <v>0</v>
      </c>
      <c r="AC2">
        <f>BDH("SKIN US Equity","EBITDA","1993-06-18","2026-05-02","Per=Y","Days=T","Dir=V")</f>
        <v>0</v>
      </c>
      <c r="AE2">
        <f>BDH("SKIN US Equity","NET_INCOME","1993-06-18","2026-05-02","Per=Y","Days=T","Dir=V")</f>
        <v>0</v>
      </c>
      <c r="AG2">
        <f>BDH("SKIN US Equity","IS_INT_EXPENSE","1993-06-18","2026-05-02","Per=Y","Days=T","Dir=V")</f>
        <v>0</v>
      </c>
      <c r="AI2">
        <f>BDH("SKIN US Equity","IS_DEPR_EXP","1993-06-18","2026-05-02","Per=Y","Days=T","Dir=V")</f>
        <v>0</v>
      </c>
      <c r="AK2">
        <f>BDH("SKIN US Equity","CF_CASH_FROM_OPER","1993-06-18","2026-05-02","Per=Y","Days=T","Dir=V")</f>
        <v>0</v>
      </c>
      <c r="AM2">
        <f>BDH("SKIN US Equity","CAPITAL_EXPEND","1993-06-18","2026-05-02","Per=Y","Days=T","Dir=V")</f>
        <v>0</v>
      </c>
      <c r="AO2">
        <f>BDH("SKIN US Equity","CF_FREE_CASH_FLOW","1993-06-18","2026-05-02","Per=Y","Days=T","Dir=V")</f>
        <v>0</v>
      </c>
      <c r="AQ2">
        <f>BDH("SKIN US Equity","PX_LAST","1993-06-18","2026-05-02","Per=M","Days=T","Dir=V")</f>
        <v>0</v>
      </c>
      <c r="AS2">
        <f>BDH("SKIN US Equity","CUR_MKT_CAP","1993-06-18","2026-05-02","Per=M","Days=T","Dir=V")</f>
        <v>0</v>
      </c>
      <c r="AU2">
        <f>BDH("SKIN US Equity","EQY_SH_OUT","1993-06-18","2026-05-02","Per=M","Days=T","Dir=V")</f>
        <v>0</v>
      </c>
      <c r="AW2">
        <f>BDH("SKIN US Equity","PX_VOLUME","1993-06-18","2026-05-02","Per=M","Days=T","Dir=V")</f>
        <v>0</v>
      </c>
      <c r="AY2">
        <f>BDH("SKIN US Equity","TURNOVER","1993-06-18","2026-05-02","Per=M","Days=T","Dir=V")</f>
        <v>0</v>
      </c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BDH("SKY US Equity","BS_TOT_ASSET","1993-06-18","2026-05-02","Per=Y","Days=T","Dir=V")</f>
        <v>0</v>
      </c>
      <c r="C2">
        <f>BDH("SKY US Equity","BS_TOT_LIAB2","1993-06-18","2026-05-02","Per=Y","Days=T","Dir=V")</f>
        <v>0</v>
      </c>
      <c r="E2">
        <f>BDH("SKY US Equity","SHORT_AND_LONG_TERM_DEBT","1993-06-18","2026-05-02","Per=Y","Days=T","Dir=V")</f>
        <v>0</v>
      </c>
      <c r="G2">
        <f>BDH("SKY US Equity","BS_ST_BORROW","1993-06-18","2026-05-02","Per=Y","Days=T","Dir=V")</f>
        <v>0</v>
      </c>
      <c r="I2">
        <f>BDH("SKY US Equity","BS_LT_BORROW","1993-06-18","2026-05-02","Per=Y","Days=T","Dir=V")</f>
        <v>0</v>
      </c>
      <c r="K2">
        <f>BDH("SKY US Equity","BS_CASH_NEAR_CASH_ITEM","1993-06-18","2026-05-02","Per=Y","Days=T","Dir=V")</f>
        <v>0</v>
      </c>
      <c r="M2">
        <f>BDH("SKY US Equity","BS_CUR_ASSET_REPORT","1993-06-18","2026-05-02","Per=Y","Days=T","Dir=V")</f>
        <v>0</v>
      </c>
      <c r="O2">
        <f>BDH("SKY US Equity","BS_CUR_LIAB","1993-06-18","2026-05-02","Per=Y","Days=T","Dir=V")</f>
        <v>0</v>
      </c>
      <c r="Q2">
        <f>BDH("SKY US Equity","BS_SHAREHOLDER_EQY_ENDING_PERIOD","1993-06-18","2026-05-02","Per=Y","Days=T","Dir=V")</f>
        <v>0</v>
      </c>
      <c r="S2">
        <f>BDH("SKY US Equity","BS_ACCT_NOTE_RCV","1993-06-18","2026-05-02","Per=Y","Days=T","Dir=V")</f>
        <v>0</v>
      </c>
      <c r="U2">
        <f>BDH("SKY US Equity","BS_INVENTORIES","1993-06-18","2026-05-02","Per=Y","Days=T","Dir=V")</f>
        <v>0</v>
      </c>
      <c r="W2">
        <f>BDH("SKY US Equity","WORKING_CAPITAL","1993-06-18","2026-05-02","Per=Y","Days=T","Dir=V")</f>
        <v>0</v>
      </c>
      <c r="Y2">
        <f>BDH("SKY US Equity","SALES_REV_TURN","1993-06-18","2026-05-02","Per=Y","Days=T","Dir=V")</f>
        <v>0</v>
      </c>
      <c r="AA2">
        <f>BDH("SKY US Equity","EBIT","1993-06-18","2026-05-02","Per=Y","Days=T","Dir=V")</f>
        <v>0</v>
      </c>
      <c r="AC2">
        <f>BDH("SKY US Equity","EBITDA","1993-06-18","2026-05-02","Per=Y","Days=T","Dir=V")</f>
        <v>0</v>
      </c>
      <c r="AE2">
        <f>BDH("SKY US Equity","NET_INCOME","1993-06-18","2026-05-02","Per=Y","Days=T","Dir=V")</f>
        <v>0</v>
      </c>
      <c r="AG2">
        <f>BDH("SKY US Equity","IS_INT_EXPENSE","1993-06-18","2026-05-02","Per=Y","Days=T","Dir=V")</f>
        <v>0</v>
      </c>
      <c r="AI2">
        <f>BDH("SKY US Equity","IS_DEPR_EXP","1993-06-18","2026-05-02","Per=Y","Days=T","Dir=V")</f>
        <v>0</v>
      </c>
      <c r="AK2">
        <f>BDH("SKY US Equity","CF_CASH_FROM_OPER","1993-06-18","2026-05-02","Per=Y","Days=T","Dir=V")</f>
        <v>0</v>
      </c>
      <c r="AM2">
        <f>BDH("SKY US Equity","CAPITAL_EXPEND","1993-06-18","2026-05-02","Per=Y","Days=T","Dir=V")</f>
        <v>0</v>
      </c>
      <c r="AO2">
        <f>BDH("SKY US Equity","CF_FREE_CASH_FLOW","1993-06-18","2026-05-02","Per=Y","Days=T","Dir=V")</f>
        <v>0</v>
      </c>
      <c r="AQ2">
        <f>BDH("SKY US Equity","PX_LAST","1993-06-18","2026-05-02","Per=M","Days=T","Dir=V")</f>
        <v>0</v>
      </c>
      <c r="AS2">
        <f>BDH("SKY US Equity","CUR_MKT_CAP","1993-06-18","2026-05-02","Per=M","Days=T","Dir=V")</f>
        <v>0</v>
      </c>
      <c r="AU2">
        <f>BDH("SKY US Equity","EQY_SH_OUT","1993-06-18","2026-05-02","Per=M","Days=T","Dir=V")</f>
        <v>0</v>
      </c>
      <c r="AW2">
        <f>BDH("SKY US Equity","PX_VOLUME","1993-06-18","2026-05-02","Per=M","Days=T","Dir=V")</f>
        <v>0</v>
      </c>
      <c r="AY2">
        <f>BDH("SKY US Equity","TURNOVER","1993-06-18","2026-05-02","Per=M","Days=T","Dir=V")</f>
        <v>0</v>
      </c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BDH("SKYA US Equity","BS_TOT_ASSET","1993-06-18","2026-05-02","Per=Y","Days=T","Dir=V")</f>
        <v>0</v>
      </c>
      <c r="C2">
        <f>BDH("SKYA US Equity","BS_TOT_LIAB2","1993-06-18","2026-05-02","Per=Y","Days=T","Dir=V")</f>
        <v>0</v>
      </c>
      <c r="E2">
        <f>BDH("SKYA US Equity","SHORT_AND_LONG_TERM_DEBT","1993-06-18","2026-05-02","Per=Y","Days=T","Dir=V")</f>
        <v>0</v>
      </c>
      <c r="G2">
        <f>BDH("SKYA US Equity","BS_ST_BORROW","1993-06-18","2026-05-02","Per=Y","Days=T","Dir=V")</f>
        <v>0</v>
      </c>
      <c r="I2">
        <f>BDH("SKYA US Equity","BS_LT_BORROW","1993-06-18","2026-05-02","Per=Y","Days=T","Dir=V")</f>
        <v>0</v>
      </c>
      <c r="K2">
        <f>BDH("SKYA US Equity","BS_CASH_NEAR_CASH_ITEM","1993-06-18","2026-05-02","Per=Y","Days=T","Dir=V")</f>
        <v>0</v>
      </c>
      <c r="M2">
        <f>BDH("SKYA US Equity","BS_CUR_ASSET_REPORT","1993-06-18","2026-05-02","Per=Y","Days=T","Dir=V")</f>
        <v>0</v>
      </c>
      <c r="O2">
        <f>BDH("SKYA US Equity","BS_CUR_LIAB","1993-06-18","2026-05-02","Per=Y","Days=T","Dir=V")</f>
        <v>0</v>
      </c>
      <c r="Q2">
        <f>BDH("SKYA US Equity","BS_SHAREHOLDER_EQY_ENDING_PERIOD","1993-06-18","2026-05-02","Per=Y","Days=T","Dir=V")</f>
        <v>0</v>
      </c>
      <c r="S2">
        <f>BDH("SKYA US Equity","BS_ACCT_NOTE_RCV","1993-06-18","2026-05-02","Per=Y","Days=T","Dir=V")</f>
        <v>0</v>
      </c>
      <c r="U2">
        <f>BDH("SKYA US Equity","BS_INVENTORIES","1993-06-18","2026-05-02","Per=Y","Days=T","Dir=V")</f>
        <v>0</v>
      </c>
      <c r="W2">
        <f>BDH("SKYA US Equity","WORKING_CAPITAL","1993-06-18","2026-05-02","Per=Y","Days=T","Dir=V")</f>
        <v>0</v>
      </c>
      <c r="Y2">
        <f>BDH("SKYA US Equity","SALES_REV_TURN","1993-06-18","2026-05-02","Per=Y","Days=T","Dir=V")</f>
        <v>0</v>
      </c>
      <c r="AA2">
        <f>BDH("SKYA US Equity","EBIT","1993-06-18","2026-05-02","Per=Y","Days=T","Dir=V")</f>
        <v>0</v>
      </c>
      <c r="AC2">
        <f>BDH("SKYA US Equity","EBITDA","1993-06-18","2026-05-02","Per=Y","Days=T","Dir=V")</f>
        <v>0</v>
      </c>
      <c r="AE2">
        <f>BDH("SKYA US Equity","NET_INCOME","1993-06-18","2026-05-02","Per=Y","Days=T","Dir=V")</f>
        <v>0</v>
      </c>
      <c r="AG2">
        <f>BDH("SKYA US Equity","IS_INT_EXPENSE","1993-06-18","2026-05-02","Per=Y","Days=T","Dir=V")</f>
        <v>0</v>
      </c>
      <c r="AI2">
        <f>BDH("SKYA US Equity","IS_DEPR_EXP","1993-06-18","2026-05-02","Per=Y","Days=T","Dir=V")</f>
        <v>0</v>
      </c>
      <c r="AK2">
        <f>BDH("SKYA US Equity","CF_CASH_FROM_OPER","1993-06-18","2026-05-02","Per=Y","Days=T","Dir=V")</f>
        <v>0</v>
      </c>
      <c r="AM2">
        <f>BDH("SKYA US Equity","CAPITAL_EXPEND","1993-06-18","2026-05-02","Per=Y","Days=T","Dir=V")</f>
        <v>0</v>
      </c>
      <c r="AO2">
        <f>BDH("SKYA US Equity","CF_FREE_CASH_FLOW","1993-06-18","2026-05-02","Per=Y","Days=T","Dir=V")</f>
        <v>0</v>
      </c>
      <c r="AQ2">
        <f>BDH("SKYA US Equity","PX_LAST","1993-06-18","2026-05-02","Per=M","Days=T","Dir=V")</f>
        <v>0</v>
      </c>
      <c r="AS2">
        <f>BDH("SKYA US Equity","CUR_MKT_CAP","1993-06-18","2026-05-02","Per=M","Days=T","Dir=V")</f>
        <v>0</v>
      </c>
      <c r="AU2">
        <f>BDH("SKYA US Equity","EQY_SH_OUT","1993-06-18","2026-05-02","Per=M","Days=T","Dir=V")</f>
        <v>0</v>
      </c>
      <c r="AW2">
        <f>BDH("SKYA US Equity","PX_VOLUME","1993-06-18","2026-05-02","Per=M","Days=T","Dir=V")</f>
        <v>0</v>
      </c>
      <c r="AY2">
        <f>BDH("SKYA US Equity","TURNOVER","1993-06-18","2026-05-02","Per=M","Days=T","Dir=V")</f>
        <v>0</v>
      </c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BDH("SKYAW US Equity","BS_TOT_ASSET","1993-06-18","2026-05-02","Per=Y","Days=T","Dir=V")</f>
        <v>0</v>
      </c>
      <c r="C2">
        <f>BDH("SKYAW US Equity","BS_TOT_LIAB2","1993-06-18","2026-05-02","Per=Y","Days=T","Dir=V")</f>
        <v>0</v>
      </c>
      <c r="E2">
        <f>BDH("SKYAW US Equity","SHORT_AND_LONG_TERM_DEBT","1993-06-18","2026-05-02","Per=Y","Days=T","Dir=V")</f>
        <v>0</v>
      </c>
      <c r="G2">
        <f>BDH("SKYAW US Equity","BS_ST_BORROW","1993-06-18","2026-05-02","Per=Y","Days=T","Dir=V")</f>
        <v>0</v>
      </c>
      <c r="I2">
        <f>BDH("SKYAW US Equity","BS_LT_BORROW","1993-06-18","2026-05-02","Per=Y","Days=T","Dir=V")</f>
        <v>0</v>
      </c>
      <c r="K2">
        <f>BDH("SKYAW US Equity","BS_CASH_NEAR_CASH_ITEM","1993-06-18","2026-05-02","Per=Y","Days=T","Dir=V")</f>
        <v>0</v>
      </c>
      <c r="M2">
        <f>BDH("SKYAW US Equity","BS_CUR_ASSET_REPORT","1993-06-18","2026-05-02","Per=Y","Days=T","Dir=V")</f>
        <v>0</v>
      </c>
      <c r="O2">
        <f>BDH("SKYAW US Equity","BS_CUR_LIAB","1993-06-18","2026-05-02","Per=Y","Days=T","Dir=V")</f>
        <v>0</v>
      </c>
      <c r="Q2">
        <f>BDH("SKYAW US Equity","BS_SHAREHOLDER_EQY_ENDING_PERIOD","1993-06-18","2026-05-02","Per=Y","Days=T","Dir=V")</f>
        <v>0</v>
      </c>
      <c r="S2">
        <f>BDH("SKYAW US Equity","BS_ACCT_NOTE_RCV","1993-06-18","2026-05-02","Per=Y","Days=T","Dir=V")</f>
        <v>0</v>
      </c>
      <c r="U2">
        <f>BDH("SKYAW US Equity","BS_INVENTORIES","1993-06-18","2026-05-02","Per=Y","Days=T","Dir=V")</f>
        <v>0</v>
      </c>
      <c r="W2">
        <f>BDH("SKYAW US Equity","WORKING_CAPITAL","1993-06-18","2026-05-02","Per=Y","Days=T","Dir=V")</f>
        <v>0</v>
      </c>
      <c r="Y2">
        <f>BDH("SKYAW US Equity","SALES_REV_TURN","1993-06-18","2026-05-02","Per=Y","Days=T","Dir=V")</f>
        <v>0</v>
      </c>
      <c r="AA2">
        <f>BDH("SKYAW US Equity","EBIT","1993-06-18","2026-05-02","Per=Y","Days=T","Dir=V")</f>
        <v>0</v>
      </c>
      <c r="AC2">
        <f>BDH("SKYAW US Equity","EBITDA","1993-06-18","2026-05-02","Per=Y","Days=T","Dir=V")</f>
        <v>0</v>
      </c>
      <c r="AE2">
        <f>BDH("SKYAW US Equity","NET_INCOME","1993-06-18","2026-05-02","Per=Y","Days=T","Dir=V")</f>
        <v>0</v>
      </c>
      <c r="AG2">
        <f>BDH("SKYAW US Equity","IS_INT_EXPENSE","1993-06-18","2026-05-02","Per=Y","Days=T","Dir=V")</f>
        <v>0</v>
      </c>
      <c r="AI2">
        <f>BDH("SKYAW US Equity","IS_DEPR_EXP","1993-06-18","2026-05-02","Per=Y","Days=T","Dir=V")</f>
        <v>0</v>
      </c>
      <c r="AK2">
        <f>BDH("SKYAW US Equity","CF_CASH_FROM_OPER","1993-06-18","2026-05-02","Per=Y","Days=T","Dir=V")</f>
        <v>0</v>
      </c>
      <c r="AM2">
        <f>BDH("SKYAW US Equity","CAPITAL_EXPEND","1993-06-18","2026-05-02","Per=Y","Days=T","Dir=V")</f>
        <v>0</v>
      </c>
      <c r="AO2">
        <f>BDH("SKYAW US Equity","CF_FREE_CASH_FLOW","1993-06-18","2026-05-02","Per=Y","Days=T","Dir=V")</f>
        <v>0</v>
      </c>
      <c r="AQ2">
        <f>BDH("SKYAW US Equity","PX_LAST","1993-06-18","2026-05-02","Per=M","Days=T","Dir=V")</f>
        <v>0</v>
      </c>
      <c r="AS2">
        <f>BDH("SKYAW US Equity","CUR_MKT_CAP","1993-06-18","2026-05-02","Per=M","Days=T","Dir=V")</f>
        <v>0</v>
      </c>
      <c r="AU2">
        <f>BDH("SKYAW US Equity","EQY_SH_OUT","1993-06-18","2026-05-02","Per=M","Days=T","Dir=V")</f>
        <v>0</v>
      </c>
      <c r="AW2">
        <f>BDH("SKYAW US Equity","PX_VOLUME","1993-06-18","2026-05-02","Per=M","Days=T","Dir=V")</f>
        <v>0</v>
      </c>
      <c r="AY2">
        <f>BDH("SKYAW US Equity","TURNOVER","1993-06-18","2026-05-02","Per=M","Days=T","Dir=V")</f>
        <v>0</v>
      </c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BDH("SKYE US Equity","BS_TOT_ASSET","1993-06-18","2026-05-02","Per=Y","Days=T","Dir=V")</f>
        <v>0</v>
      </c>
      <c r="C2">
        <f>BDH("SKYE US Equity","BS_TOT_LIAB2","1993-06-18","2026-05-02","Per=Y","Days=T","Dir=V")</f>
        <v>0</v>
      </c>
      <c r="E2">
        <f>BDH("SKYE US Equity","SHORT_AND_LONG_TERM_DEBT","1993-06-18","2026-05-02","Per=Y","Days=T","Dir=V")</f>
        <v>0</v>
      </c>
      <c r="G2">
        <f>BDH("SKYE US Equity","BS_ST_BORROW","1993-06-18","2026-05-02","Per=Y","Days=T","Dir=V")</f>
        <v>0</v>
      </c>
      <c r="I2">
        <f>BDH("SKYE US Equity","BS_LT_BORROW","1993-06-18","2026-05-02","Per=Y","Days=T","Dir=V")</f>
        <v>0</v>
      </c>
      <c r="K2">
        <f>BDH("SKYE US Equity","BS_CASH_NEAR_CASH_ITEM","1993-06-18","2026-05-02","Per=Y","Days=T","Dir=V")</f>
        <v>0</v>
      </c>
      <c r="M2">
        <f>BDH("SKYE US Equity","BS_CUR_ASSET_REPORT","1993-06-18","2026-05-02","Per=Y","Days=T","Dir=V")</f>
        <v>0</v>
      </c>
      <c r="O2">
        <f>BDH("SKYE US Equity","BS_CUR_LIAB","1993-06-18","2026-05-02","Per=Y","Days=T","Dir=V")</f>
        <v>0</v>
      </c>
      <c r="Q2">
        <f>BDH("SKYE US Equity","BS_SHAREHOLDER_EQY_ENDING_PERIOD","1993-06-18","2026-05-02","Per=Y","Days=T","Dir=V")</f>
        <v>0</v>
      </c>
      <c r="S2">
        <f>BDH("SKYE US Equity","BS_ACCT_NOTE_RCV","1993-06-18","2026-05-02","Per=Y","Days=T","Dir=V")</f>
        <v>0</v>
      </c>
      <c r="U2">
        <f>BDH("SKYE US Equity","BS_INVENTORIES","1993-06-18","2026-05-02","Per=Y","Days=T","Dir=V")</f>
        <v>0</v>
      </c>
      <c r="W2">
        <f>BDH("SKYE US Equity","WORKING_CAPITAL","1993-06-18","2026-05-02","Per=Y","Days=T","Dir=V")</f>
        <v>0</v>
      </c>
      <c r="Y2">
        <f>BDH("SKYE US Equity","SALES_REV_TURN","1993-06-18","2026-05-02","Per=Y","Days=T","Dir=V")</f>
        <v>0</v>
      </c>
      <c r="AA2">
        <f>BDH("SKYE US Equity","EBIT","1993-06-18","2026-05-02","Per=Y","Days=T","Dir=V")</f>
        <v>0</v>
      </c>
      <c r="AC2">
        <f>BDH("SKYE US Equity","EBITDA","1993-06-18","2026-05-02","Per=Y","Days=T","Dir=V")</f>
        <v>0</v>
      </c>
      <c r="AE2">
        <f>BDH("SKYE US Equity","NET_INCOME","1993-06-18","2026-05-02","Per=Y","Days=T","Dir=V")</f>
        <v>0</v>
      </c>
      <c r="AG2">
        <f>BDH("SKYE US Equity","IS_INT_EXPENSE","1993-06-18","2026-05-02","Per=Y","Days=T","Dir=V")</f>
        <v>0</v>
      </c>
      <c r="AI2">
        <f>BDH("SKYE US Equity","IS_DEPR_EXP","1993-06-18","2026-05-02","Per=Y","Days=T","Dir=V")</f>
        <v>0</v>
      </c>
      <c r="AK2">
        <f>BDH("SKYE US Equity","CF_CASH_FROM_OPER","1993-06-18","2026-05-02","Per=Y","Days=T","Dir=V")</f>
        <v>0</v>
      </c>
      <c r="AM2">
        <f>BDH("SKYE US Equity","CAPITAL_EXPEND","1993-06-18","2026-05-02","Per=Y","Days=T","Dir=V")</f>
        <v>0</v>
      </c>
      <c r="AO2">
        <f>BDH("SKYE US Equity","CF_FREE_CASH_FLOW","1993-06-18","2026-05-02","Per=Y","Days=T","Dir=V")</f>
        <v>0</v>
      </c>
      <c r="AQ2">
        <f>BDH("SKYE US Equity","PX_LAST","1993-06-18","2026-05-02","Per=M","Days=T","Dir=V")</f>
        <v>0</v>
      </c>
      <c r="AS2">
        <f>BDH("SKYE US Equity","CUR_MKT_CAP","1993-06-18","2026-05-02","Per=M","Days=T","Dir=V")</f>
        <v>0</v>
      </c>
      <c r="AU2">
        <f>BDH("SKYE US Equity","EQY_SH_OUT","1993-06-18","2026-05-02","Per=M","Days=T","Dir=V")</f>
        <v>0</v>
      </c>
      <c r="AW2">
        <f>BDH("SKYE US Equity","PX_VOLUME","1993-06-18","2026-05-02","Per=M","Days=T","Dir=V")</f>
        <v>0</v>
      </c>
      <c r="AY2">
        <f>BDH("SKYE US Equity","TURNOVER","1993-06-18","2026-05-02","Per=M","Days=T","Dir=V")</f>
        <v>0</v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BDH("SKYQ US Equity","BS_TOT_ASSET","1993-06-18","2026-05-02","Per=Y","Days=T","Dir=V")</f>
        <v>0</v>
      </c>
      <c r="C2">
        <f>BDH("SKYQ US Equity","BS_TOT_LIAB2","1993-06-18","2026-05-02","Per=Y","Days=T","Dir=V")</f>
        <v>0</v>
      </c>
      <c r="E2">
        <f>BDH("SKYQ US Equity","SHORT_AND_LONG_TERM_DEBT","1993-06-18","2026-05-02","Per=Y","Days=T","Dir=V")</f>
        <v>0</v>
      </c>
      <c r="G2">
        <f>BDH("SKYQ US Equity","BS_ST_BORROW","1993-06-18","2026-05-02","Per=Y","Days=T","Dir=V")</f>
        <v>0</v>
      </c>
      <c r="I2">
        <f>BDH("SKYQ US Equity","BS_LT_BORROW","1993-06-18","2026-05-02","Per=Y","Days=T","Dir=V")</f>
        <v>0</v>
      </c>
      <c r="K2">
        <f>BDH("SKYQ US Equity","BS_CASH_NEAR_CASH_ITEM","1993-06-18","2026-05-02","Per=Y","Days=T","Dir=V")</f>
        <v>0</v>
      </c>
      <c r="M2">
        <f>BDH("SKYQ US Equity","BS_CUR_ASSET_REPORT","1993-06-18","2026-05-02","Per=Y","Days=T","Dir=V")</f>
        <v>0</v>
      </c>
      <c r="O2">
        <f>BDH("SKYQ US Equity","BS_CUR_LIAB","1993-06-18","2026-05-02","Per=Y","Days=T","Dir=V")</f>
        <v>0</v>
      </c>
      <c r="Q2">
        <f>BDH("SKYQ US Equity","BS_SHAREHOLDER_EQY_ENDING_PERIOD","1993-06-18","2026-05-02","Per=Y","Days=T","Dir=V")</f>
        <v>0</v>
      </c>
      <c r="S2">
        <f>BDH("SKYQ US Equity","BS_ACCT_NOTE_RCV","1993-06-18","2026-05-02","Per=Y","Days=T","Dir=V")</f>
        <v>0</v>
      </c>
      <c r="U2">
        <f>BDH("SKYQ US Equity","BS_INVENTORIES","1993-06-18","2026-05-02","Per=Y","Days=T","Dir=V")</f>
        <v>0</v>
      </c>
      <c r="W2">
        <f>BDH("SKYQ US Equity","WORKING_CAPITAL","1993-06-18","2026-05-02","Per=Y","Days=T","Dir=V")</f>
        <v>0</v>
      </c>
      <c r="Y2">
        <f>BDH("SKYQ US Equity","SALES_REV_TURN","1993-06-18","2026-05-02","Per=Y","Days=T","Dir=V")</f>
        <v>0</v>
      </c>
      <c r="AA2">
        <f>BDH("SKYQ US Equity","EBIT","1993-06-18","2026-05-02","Per=Y","Days=T","Dir=V")</f>
        <v>0</v>
      </c>
      <c r="AC2">
        <f>BDH("SKYQ US Equity","EBITDA","1993-06-18","2026-05-02","Per=Y","Days=T","Dir=V")</f>
        <v>0</v>
      </c>
      <c r="AE2">
        <f>BDH("SKYQ US Equity","NET_INCOME","1993-06-18","2026-05-02","Per=Y","Days=T","Dir=V")</f>
        <v>0</v>
      </c>
      <c r="AG2">
        <f>BDH("SKYQ US Equity","IS_INT_EXPENSE","1993-06-18","2026-05-02","Per=Y","Days=T","Dir=V")</f>
        <v>0</v>
      </c>
      <c r="AI2">
        <f>BDH("SKYQ US Equity","IS_DEPR_EXP","1993-06-18","2026-05-02","Per=Y","Days=T","Dir=V")</f>
        <v>0</v>
      </c>
      <c r="AK2">
        <f>BDH("SKYQ US Equity","CF_CASH_FROM_OPER","1993-06-18","2026-05-02","Per=Y","Days=T","Dir=V")</f>
        <v>0</v>
      </c>
      <c r="AM2">
        <f>BDH("SKYQ US Equity","CAPITAL_EXPEND","1993-06-18","2026-05-02","Per=Y","Days=T","Dir=V")</f>
        <v>0</v>
      </c>
      <c r="AO2">
        <f>BDH("SKYQ US Equity","CF_FREE_CASH_FLOW","1993-06-18","2026-05-02","Per=Y","Days=T","Dir=V")</f>
        <v>0</v>
      </c>
      <c r="AQ2">
        <f>BDH("SKYQ US Equity","PX_LAST","1993-06-18","2026-05-02","Per=M","Days=T","Dir=V")</f>
        <v>0</v>
      </c>
      <c r="AS2">
        <f>BDH("SKYQ US Equity","CUR_MKT_CAP","1993-06-18","2026-05-02","Per=M","Days=T","Dir=V")</f>
        <v>0</v>
      </c>
      <c r="AU2">
        <f>BDH("SKYQ US Equity","EQY_SH_OUT","1993-06-18","2026-05-02","Per=M","Days=T","Dir=V")</f>
        <v>0</v>
      </c>
      <c r="AW2">
        <f>BDH("SKYQ US Equity","PX_VOLUME","1993-06-18","2026-05-02","Per=M","Days=T","Dir=V")</f>
        <v>0</v>
      </c>
      <c r="AY2">
        <f>BDH("SKYQ US Equity","TURNOVER","1993-06-18","2026-05-02","Per=M","Days=T","Dir=V")</f>
        <v>0</v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BDH("SKYW US Equity","BS_TOT_ASSET","1993-06-18","2026-05-02","Per=Y","Days=T","Dir=V")</f>
        <v>0</v>
      </c>
      <c r="C2">
        <f>BDH("SKYW US Equity","BS_TOT_LIAB2","1993-06-18","2026-05-02","Per=Y","Days=T","Dir=V")</f>
        <v>0</v>
      </c>
      <c r="E2">
        <f>BDH("SKYW US Equity","SHORT_AND_LONG_TERM_DEBT","1993-06-18","2026-05-02","Per=Y","Days=T","Dir=V")</f>
        <v>0</v>
      </c>
      <c r="G2">
        <f>BDH("SKYW US Equity","BS_ST_BORROW","1993-06-18","2026-05-02","Per=Y","Days=T","Dir=V")</f>
        <v>0</v>
      </c>
      <c r="I2">
        <f>BDH("SKYW US Equity","BS_LT_BORROW","1993-06-18","2026-05-02","Per=Y","Days=T","Dir=V")</f>
        <v>0</v>
      </c>
      <c r="K2">
        <f>BDH("SKYW US Equity","BS_CASH_NEAR_CASH_ITEM","1993-06-18","2026-05-02","Per=Y","Days=T","Dir=V")</f>
        <v>0</v>
      </c>
      <c r="M2">
        <f>BDH("SKYW US Equity","BS_CUR_ASSET_REPORT","1993-06-18","2026-05-02","Per=Y","Days=T","Dir=V")</f>
        <v>0</v>
      </c>
      <c r="O2">
        <f>BDH("SKYW US Equity","BS_CUR_LIAB","1993-06-18","2026-05-02","Per=Y","Days=T","Dir=V")</f>
        <v>0</v>
      </c>
      <c r="Q2">
        <f>BDH("SKYW US Equity","BS_SHAREHOLDER_EQY_ENDING_PERIOD","1993-06-18","2026-05-02","Per=Y","Days=T","Dir=V")</f>
        <v>0</v>
      </c>
      <c r="S2">
        <f>BDH("SKYW US Equity","BS_ACCT_NOTE_RCV","1993-06-18","2026-05-02","Per=Y","Days=T","Dir=V")</f>
        <v>0</v>
      </c>
      <c r="U2">
        <f>BDH("SKYW US Equity","BS_INVENTORIES","1993-06-18","2026-05-02","Per=Y","Days=T","Dir=V")</f>
        <v>0</v>
      </c>
      <c r="W2">
        <f>BDH("SKYW US Equity","WORKING_CAPITAL","1993-06-18","2026-05-02","Per=Y","Days=T","Dir=V")</f>
        <v>0</v>
      </c>
      <c r="Y2">
        <f>BDH("SKYW US Equity","SALES_REV_TURN","1993-06-18","2026-05-02","Per=Y","Days=T","Dir=V")</f>
        <v>0</v>
      </c>
      <c r="AA2">
        <f>BDH("SKYW US Equity","EBIT","1993-06-18","2026-05-02","Per=Y","Days=T","Dir=V")</f>
        <v>0</v>
      </c>
      <c r="AC2">
        <f>BDH("SKYW US Equity","EBITDA","1993-06-18","2026-05-02","Per=Y","Days=T","Dir=V")</f>
        <v>0</v>
      </c>
      <c r="AE2">
        <f>BDH("SKYW US Equity","NET_INCOME","1993-06-18","2026-05-02","Per=Y","Days=T","Dir=V")</f>
        <v>0</v>
      </c>
      <c r="AG2">
        <f>BDH("SKYW US Equity","IS_INT_EXPENSE","1993-06-18","2026-05-02","Per=Y","Days=T","Dir=V")</f>
        <v>0</v>
      </c>
      <c r="AI2">
        <f>BDH("SKYW US Equity","IS_DEPR_EXP","1993-06-18","2026-05-02","Per=Y","Days=T","Dir=V")</f>
        <v>0</v>
      </c>
      <c r="AK2">
        <f>BDH("SKYW US Equity","CF_CASH_FROM_OPER","1993-06-18","2026-05-02","Per=Y","Days=T","Dir=V")</f>
        <v>0</v>
      </c>
      <c r="AM2">
        <f>BDH("SKYW US Equity","CAPITAL_EXPEND","1993-06-18","2026-05-02","Per=Y","Days=T","Dir=V")</f>
        <v>0</v>
      </c>
      <c r="AO2">
        <f>BDH("SKYW US Equity","CF_FREE_CASH_FLOW","1993-06-18","2026-05-02","Per=Y","Days=T","Dir=V")</f>
        <v>0</v>
      </c>
      <c r="AQ2">
        <f>BDH("SKYW US Equity","PX_LAST","1993-06-18","2026-05-02","Per=M","Days=T","Dir=V")</f>
        <v>0</v>
      </c>
      <c r="AS2">
        <f>BDH("SKYW US Equity","CUR_MKT_CAP","1993-06-18","2026-05-02","Per=M","Days=T","Dir=V")</f>
        <v>0</v>
      </c>
      <c r="AU2">
        <f>BDH("SKYW US Equity","EQY_SH_OUT","1993-06-18","2026-05-02","Per=M","Days=T","Dir=V")</f>
        <v>0</v>
      </c>
      <c r="AW2">
        <f>BDH("SKYW US Equity","PX_VOLUME","1993-06-18","2026-05-02","Per=M","Days=T","Dir=V")</f>
        <v>0</v>
      </c>
      <c r="AY2">
        <f>BDH("SKYW US Equity","TURNOVER","1993-06-18","2026-05-02","Per=M","Days=T","Dir=V")</f>
        <v>0</v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BDH("SKYX US Equity","BS_TOT_ASSET","1993-06-18","2026-05-02","Per=Y","Days=T","Dir=V")</f>
        <v>0</v>
      </c>
      <c r="C2">
        <f>BDH("SKYX US Equity","BS_TOT_LIAB2","1993-06-18","2026-05-02","Per=Y","Days=T","Dir=V")</f>
        <v>0</v>
      </c>
      <c r="E2">
        <f>BDH("SKYX US Equity","SHORT_AND_LONG_TERM_DEBT","1993-06-18","2026-05-02","Per=Y","Days=T","Dir=V")</f>
        <v>0</v>
      </c>
      <c r="G2">
        <f>BDH("SKYX US Equity","BS_ST_BORROW","1993-06-18","2026-05-02","Per=Y","Days=T","Dir=V")</f>
        <v>0</v>
      </c>
      <c r="I2">
        <f>BDH("SKYX US Equity","BS_LT_BORROW","1993-06-18","2026-05-02","Per=Y","Days=T","Dir=V")</f>
        <v>0</v>
      </c>
      <c r="K2">
        <f>BDH("SKYX US Equity","BS_CASH_NEAR_CASH_ITEM","1993-06-18","2026-05-02","Per=Y","Days=T","Dir=V")</f>
        <v>0</v>
      </c>
      <c r="M2">
        <f>BDH("SKYX US Equity","BS_CUR_ASSET_REPORT","1993-06-18","2026-05-02","Per=Y","Days=T","Dir=V")</f>
        <v>0</v>
      </c>
      <c r="O2">
        <f>BDH("SKYX US Equity","BS_CUR_LIAB","1993-06-18","2026-05-02","Per=Y","Days=T","Dir=V")</f>
        <v>0</v>
      </c>
      <c r="Q2">
        <f>BDH("SKYX US Equity","BS_SHAREHOLDER_EQY_ENDING_PERIOD","1993-06-18","2026-05-02","Per=Y","Days=T","Dir=V")</f>
        <v>0</v>
      </c>
      <c r="S2">
        <f>BDH("SKYX US Equity","BS_ACCT_NOTE_RCV","1993-06-18","2026-05-02","Per=Y","Days=T","Dir=V")</f>
        <v>0</v>
      </c>
      <c r="U2">
        <f>BDH("SKYX US Equity","BS_INVENTORIES","1993-06-18","2026-05-02","Per=Y","Days=T","Dir=V")</f>
        <v>0</v>
      </c>
      <c r="W2">
        <f>BDH("SKYX US Equity","WORKING_CAPITAL","1993-06-18","2026-05-02","Per=Y","Days=T","Dir=V")</f>
        <v>0</v>
      </c>
      <c r="Y2">
        <f>BDH("SKYX US Equity","SALES_REV_TURN","1993-06-18","2026-05-02","Per=Y","Days=T","Dir=V")</f>
        <v>0</v>
      </c>
      <c r="AA2">
        <f>BDH("SKYX US Equity","EBIT","1993-06-18","2026-05-02","Per=Y","Days=T","Dir=V")</f>
        <v>0</v>
      </c>
      <c r="AC2">
        <f>BDH("SKYX US Equity","EBITDA","1993-06-18","2026-05-02","Per=Y","Days=T","Dir=V")</f>
        <v>0</v>
      </c>
      <c r="AE2">
        <f>BDH("SKYX US Equity","NET_INCOME","1993-06-18","2026-05-02","Per=Y","Days=T","Dir=V")</f>
        <v>0</v>
      </c>
      <c r="AG2">
        <f>BDH("SKYX US Equity","IS_INT_EXPENSE","1993-06-18","2026-05-02","Per=Y","Days=T","Dir=V")</f>
        <v>0</v>
      </c>
      <c r="AI2">
        <f>BDH("SKYX US Equity","IS_DEPR_EXP","1993-06-18","2026-05-02","Per=Y","Days=T","Dir=V")</f>
        <v>0</v>
      </c>
      <c r="AK2">
        <f>BDH("SKYX US Equity","CF_CASH_FROM_OPER","1993-06-18","2026-05-02","Per=Y","Days=T","Dir=V")</f>
        <v>0</v>
      </c>
      <c r="AM2">
        <f>BDH("SKYX US Equity","CAPITAL_EXPEND","1993-06-18","2026-05-02","Per=Y","Days=T","Dir=V")</f>
        <v>0</v>
      </c>
      <c r="AO2">
        <f>BDH("SKYX US Equity","CF_FREE_CASH_FLOW","1993-06-18","2026-05-02","Per=Y","Days=T","Dir=V")</f>
        <v>0</v>
      </c>
      <c r="AQ2">
        <f>BDH("SKYX US Equity","PX_LAST","1993-06-18","2026-05-02","Per=M","Days=T","Dir=V")</f>
        <v>0</v>
      </c>
      <c r="AS2">
        <f>BDH("SKYX US Equity","CUR_MKT_CAP","1993-06-18","2026-05-02","Per=M","Days=T","Dir=V")</f>
        <v>0</v>
      </c>
      <c r="AU2">
        <f>BDH("SKYX US Equity","EQY_SH_OUT","1993-06-18","2026-05-02","Per=M","Days=T","Dir=V")</f>
        <v>0</v>
      </c>
      <c r="AW2">
        <f>BDH("SKYX US Equity","PX_VOLUME","1993-06-18","2026-05-02","Per=M","Days=T","Dir=V")</f>
        <v>0</v>
      </c>
      <c r="AY2">
        <f>BDH("SKYX US Equity","TURNOVER","1993-06-18","2026-05-02","Per=M","Days=T","Dir=V")</f>
        <v>0</v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BDH("SLAB US Equity","BS_TOT_ASSET","1993-06-18","2026-05-02","Per=Y","Days=T","Dir=V")</f>
        <v>0</v>
      </c>
      <c r="C2">
        <f>BDH("SLAB US Equity","BS_TOT_LIAB2","1993-06-18","2026-05-02","Per=Y","Days=T","Dir=V")</f>
        <v>0</v>
      </c>
      <c r="E2">
        <f>BDH("SLAB US Equity","SHORT_AND_LONG_TERM_DEBT","1993-06-18","2026-05-02","Per=Y","Days=T","Dir=V")</f>
        <v>0</v>
      </c>
      <c r="G2">
        <f>BDH("SLAB US Equity","BS_ST_BORROW","1993-06-18","2026-05-02","Per=Y","Days=T","Dir=V")</f>
        <v>0</v>
      </c>
      <c r="I2">
        <f>BDH("SLAB US Equity","BS_LT_BORROW","1993-06-18","2026-05-02","Per=Y","Days=T","Dir=V")</f>
        <v>0</v>
      </c>
      <c r="K2">
        <f>BDH("SLAB US Equity","BS_CASH_NEAR_CASH_ITEM","1993-06-18","2026-05-02","Per=Y","Days=T","Dir=V")</f>
        <v>0</v>
      </c>
      <c r="M2">
        <f>BDH("SLAB US Equity","BS_CUR_ASSET_REPORT","1993-06-18","2026-05-02","Per=Y","Days=T","Dir=V")</f>
        <v>0</v>
      </c>
      <c r="O2">
        <f>BDH("SLAB US Equity","BS_CUR_LIAB","1993-06-18","2026-05-02","Per=Y","Days=T","Dir=V")</f>
        <v>0</v>
      </c>
      <c r="Q2">
        <f>BDH("SLAB US Equity","BS_SHAREHOLDER_EQY_ENDING_PERIOD","1993-06-18","2026-05-02","Per=Y","Days=T","Dir=V")</f>
        <v>0</v>
      </c>
      <c r="S2">
        <f>BDH("SLAB US Equity","BS_ACCT_NOTE_RCV","1993-06-18","2026-05-02","Per=Y","Days=T","Dir=V")</f>
        <v>0</v>
      </c>
      <c r="U2">
        <f>BDH("SLAB US Equity","BS_INVENTORIES","1993-06-18","2026-05-02","Per=Y","Days=T","Dir=V")</f>
        <v>0</v>
      </c>
      <c r="W2">
        <f>BDH("SLAB US Equity","WORKING_CAPITAL","1993-06-18","2026-05-02","Per=Y","Days=T","Dir=V")</f>
        <v>0</v>
      </c>
      <c r="Y2">
        <f>BDH("SLAB US Equity","SALES_REV_TURN","1993-06-18","2026-05-02","Per=Y","Days=T","Dir=V")</f>
        <v>0</v>
      </c>
      <c r="AA2">
        <f>BDH("SLAB US Equity","EBIT","1993-06-18","2026-05-02","Per=Y","Days=T","Dir=V")</f>
        <v>0</v>
      </c>
      <c r="AC2">
        <f>BDH("SLAB US Equity","EBITDA","1993-06-18","2026-05-02","Per=Y","Days=T","Dir=V")</f>
        <v>0</v>
      </c>
      <c r="AE2">
        <f>BDH("SLAB US Equity","NET_INCOME","1993-06-18","2026-05-02","Per=Y","Days=T","Dir=V")</f>
        <v>0</v>
      </c>
      <c r="AG2">
        <f>BDH("SLAB US Equity","IS_INT_EXPENSE","1993-06-18","2026-05-02","Per=Y","Days=T","Dir=V")</f>
        <v>0</v>
      </c>
      <c r="AI2">
        <f>BDH("SLAB US Equity","IS_DEPR_EXP","1993-06-18","2026-05-02","Per=Y","Days=T","Dir=V")</f>
        <v>0</v>
      </c>
      <c r="AK2">
        <f>BDH("SLAB US Equity","CF_CASH_FROM_OPER","1993-06-18","2026-05-02","Per=Y","Days=T","Dir=V")</f>
        <v>0</v>
      </c>
      <c r="AM2">
        <f>BDH("SLAB US Equity","CAPITAL_EXPEND","1993-06-18","2026-05-02","Per=Y","Days=T","Dir=V")</f>
        <v>0</v>
      </c>
      <c r="AO2">
        <f>BDH("SLAB US Equity","CF_FREE_CASH_FLOW","1993-06-18","2026-05-02","Per=Y","Days=T","Dir=V")</f>
        <v>0</v>
      </c>
      <c r="AQ2">
        <f>BDH("SLAB US Equity","PX_LAST","1993-06-18","2026-05-02","Per=M","Days=T","Dir=V")</f>
        <v>0</v>
      </c>
      <c r="AS2">
        <f>BDH("SLAB US Equity","CUR_MKT_CAP","1993-06-18","2026-05-02","Per=M","Days=T","Dir=V")</f>
        <v>0</v>
      </c>
      <c r="AU2">
        <f>BDH("SLAB US Equity","EQY_SH_OUT","1993-06-18","2026-05-02","Per=M","Days=T","Dir=V")</f>
        <v>0</v>
      </c>
      <c r="AW2">
        <f>BDH("SLAB US Equity","PX_VOLUME","1993-06-18","2026-05-02","Per=M","Days=T","Dir=V")</f>
        <v>0</v>
      </c>
      <c r="AY2">
        <f>BDH("SLAB US Equity","TURNOVER","1993-06-18","2026-05-02","Per=M","Days=T","Dir=V")</f>
        <v>0</v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BDH("SLDB US Equity","BS_TOT_ASSET","1993-06-18","2026-05-02","Per=Y","Days=T","Dir=V")</f>
        <v>0</v>
      </c>
      <c r="C2">
        <f>BDH("SLDB US Equity","BS_TOT_LIAB2","1993-06-18","2026-05-02","Per=Y","Days=T","Dir=V")</f>
        <v>0</v>
      </c>
      <c r="E2">
        <f>BDH("SLDB US Equity","SHORT_AND_LONG_TERM_DEBT","1993-06-18","2026-05-02","Per=Y","Days=T","Dir=V")</f>
        <v>0</v>
      </c>
      <c r="G2">
        <f>BDH("SLDB US Equity","BS_ST_BORROW","1993-06-18","2026-05-02","Per=Y","Days=T","Dir=V")</f>
        <v>0</v>
      </c>
      <c r="I2">
        <f>BDH("SLDB US Equity","BS_LT_BORROW","1993-06-18","2026-05-02","Per=Y","Days=T","Dir=V")</f>
        <v>0</v>
      </c>
      <c r="K2">
        <f>BDH("SLDB US Equity","BS_CASH_NEAR_CASH_ITEM","1993-06-18","2026-05-02","Per=Y","Days=T","Dir=V")</f>
        <v>0</v>
      </c>
      <c r="M2">
        <f>BDH("SLDB US Equity","BS_CUR_ASSET_REPORT","1993-06-18","2026-05-02","Per=Y","Days=T","Dir=V")</f>
        <v>0</v>
      </c>
      <c r="O2">
        <f>BDH("SLDB US Equity","BS_CUR_LIAB","1993-06-18","2026-05-02","Per=Y","Days=T","Dir=V")</f>
        <v>0</v>
      </c>
      <c r="Q2">
        <f>BDH("SLDB US Equity","BS_SHAREHOLDER_EQY_ENDING_PERIOD","1993-06-18","2026-05-02","Per=Y","Days=T","Dir=V")</f>
        <v>0</v>
      </c>
      <c r="S2">
        <f>BDH("SLDB US Equity","BS_ACCT_NOTE_RCV","1993-06-18","2026-05-02","Per=Y","Days=T","Dir=V")</f>
        <v>0</v>
      </c>
      <c r="U2">
        <f>BDH("SLDB US Equity","BS_INVENTORIES","1993-06-18","2026-05-02","Per=Y","Days=T","Dir=V")</f>
        <v>0</v>
      </c>
      <c r="W2">
        <f>BDH("SLDB US Equity","WORKING_CAPITAL","1993-06-18","2026-05-02","Per=Y","Days=T","Dir=V")</f>
        <v>0</v>
      </c>
      <c r="Y2">
        <f>BDH("SLDB US Equity","SALES_REV_TURN","1993-06-18","2026-05-02","Per=Y","Days=T","Dir=V")</f>
        <v>0</v>
      </c>
      <c r="AA2">
        <f>BDH("SLDB US Equity","EBIT","1993-06-18","2026-05-02","Per=Y","Days=T","Dir=V")</f>
        <v>0</v>
      </c>
      <c r="AC2">
        <f>BDH("SLDB US Equity","EBITDA","1993-06-18","2026-05-02","Per=Y","Days=T","Dir=V")</f>
        <v>0</v>
      </c>
      <c r="AE2">
        <f>BDH("SLDB US Equity","NET_INCOME","1993-06-18","2026-05-02","Per=Y","Days=T","Dir=V")</f>
        <v>0</v>
      </c>
      <c r="AG2">
        <f>BDH("SLDB US Equity","IS_INT_EXPENSE","1993-06-18","2026-05-02","Per=Y","Days=T","Dir=V")</f>
        <v>0</v>
      </c>
      <c r="AI2">
        <f>BDH("SLDB US Equity","IS_DEPR_EXP","1993-06-18","2026-05-02","Per=Y","Days=T","Dir=V")</f>
        <v>0</v>
      </c>
      <c r="AK2">
        <f>BDH("SLDB US Equity","CF_CASH_FROM_OPER","1993-06-18","2026-05-02","Per=Y","Days=T","Dir=V")</f>
        <v>0</v>
      </c>
      <c r="AM2">
        <f>BDH("SLDB US Equity","CAPITAL_EXPEND","1993-06-18","2026-05-02","Per=Y","Days=T","Dir=V")</f>
        <v>0</v>
      </c>
      <c r="AO2">
        <f>BDH("SLDB US Equity","CF_FREE_CASH_FLOW","1993-06-18","2026-05-02","Per=Y","Days=T","Dir=V")</f>
        <v>0</v>
      </c>
      <c r="AQ2">
        <f>BDH("SLDB US Equity","PX_LAST","1993-06-18","2026-05-02","Per=M","Days=T","Dir=V")</f>
        <v>0</v>
      </c>
      <c r="AS2">
        <f>BDH("SLDB US Equity","CUR_MKT_CAP","1993-06-18","2026-05-02","Per=M","Days=T","Dir=V")</f>
        <v>0</v>
      </c>
      <c r="AU2">
        <f>BDH("SLDB US Equity","EQY_SH_OUT","1993-06-18","2026-05-02","Per=M","Days=T","Dir=V")</f>
        <v>0</v>
      </c>
      <c r="AW2">
        <f>BDH("SLDB US Equity","PX_VOLUME","1993-06-18","2026-05-02","Per=M","Days=T","Dir=V")</f>
        <v>0</v>
      </c>
      <c r="AY2">
        <f>BDH("SLDB US Equity","TURNOVER","1993-06-18","2026-05-02","Per=M","Days=T","Dir=V")</f>
        <v>0</v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BDH("SLE US Equity","BS_TOT_ASSET","1993-06-18","2026-05-02","Per=Y","Days=T","Dir=V")</f>
        <v>0</v>
      </c>
      <c r="C2">
        <f>BDH("SLE US Equity","BS_TOT_LIAB2","1993-06-18","2026-05-02","Per=Y","Days=T","Dir=V")</f>
        <v>0</v>
      </c>
      <c r="E2">
        <f>BDH("SLE US Equity","SHORT_AND_LONG_TERM_DEBT","1993-06-18","2026-05-02","Per=Y","Days=T","Dir=V")</f>
        <v>0</v>
      </c>
      <c r="G2">
        <f>BDH("SLE US Equity","BS_ST_BORROW","1993-06-18","2026-05-02","Per=Y","Days=T","Dir=V")</f>
        <v>0</v>
      </c>
      <c r="I2">
        <f>BDH("SLE US Equity","BS_LT_BORROW","1993-06-18","2026-05-02","Per=Y","Days=T","Dir=V")</f>
        <v>0</v>
      </c>
      <c r="K2">
        <f>BDH("SLE US Equity","BS_CASH_NEAR_CASH_ITEM","1993-06-18","2026-05-02","Per=Y","Days=T","Dir=V")</f>
        <v>0</v>
      </c>
      <c r="M2">
        <f>BDH("SLE US Equity","BS_CUR_ASSET_REPORT","1993-06-18","2026-05-02","Per=Y","Days=T","Dir=V")</f>
        <v>0</v>
      </c>
      <c r="O2">
        <f>BDH("SLE US Equity","BS_CUR_LIAB","1993-06-18","2026-05-02","Per=Y","Days=T","Dir=V")</f>
        <v>0</v>
      </c>
      <c r="Q2">
        <f>BDH("SLE US Equity","BS_SHAREHOLDER_EQY_ENDING_PERIOD","1993-06-18","2026-05-02","Per=Y","Days=T","Dir=V")</f>
        <v>0</v>
      </c>
      <c r="S2">
        <f>BDH("SLE US Equity","BS_ACCT_NOTE_RCV","1993-06-18","2026-05-02","Per=Y","Days=T","Dir=V")</f>
        <v>0</v>
      </c>
      <c r="U2">
        <f>BDH("SLE US Equity","BS_INVENTORIES","1993-06-18","2026-05-02","Per=Y","Days=T","Dir=V")</f>
        <v>0</v>
      </c>
      <c r="W2">
        <f>BDH("SLE US Equity","WORKING_CAPITAL","1993-06-18","2026-05-02","Per=Y","Days=T","Dir=V")</f>
        <v>0</v>
      </c>
      <c r="Y2">
        <f>BDH("SLE US Equity","SALES_REV_TURN","1993-06-18","2026-05-02","Per=Y","Days=T","Dir=V")</f>
        <v>0</v>
      </c>
      <c r="AA2">
        <f>BDH("SLE US Equity","EBIT","1993-06-18","2026-05-02","Per=Y","Days=T","Dir=V")</f>
        <v>0</v>
      </c>
      <c r="AC2">
        <f>BDH("SLE US Equity","EBITDA","1993-06-18","2026-05-02","Per=Y","Days=T","Dir=V")</f>
        <v>0</v>
      </c>
      <c r="AE2">
        <f>BDH("SLE US Equity","NET_INCOME","1993-06-18","2026-05-02","Per=Y","Days=T","Dir=V")</f>
        <v>0</v>
      </c>
      <c r="AG2">
        <f>BDH("SLE US Equity","IS_INT_EXPENSE","1993-06-18","2026-05-02","Per=Y","Days=T","Dir=V")</f>
        <v>0</v>
      </c>
      <c r="AI2">
        <f>BDH("SLE US Equity","IS_DEPR_EXP","1993-06-18","2026-05-02","Per=Y","Days=T","Dir=V")</f>
        <v>0</v>
      </c>
      <c r="AK2">
        <f>BDH("SLE US Equity","CF_CASH_FROM_OPER","1993-06-18","2026-05-02","Per=Y","Days=T","Dir=V")</f>
        <v>0</v>
      </c>
      <c r="AM2">
        <f>BDH("SLE US Equity","CAPITAL_EXPEND","1993-06-18","2026-05-02","Per=Y","Days=T","Dir=V")</f>
        <v>0</v>
      </c>
      <c r="AO2">
        <f>BDH("SLE US Equity","CF_FREE_CASH_FLOW","1993-06-18","2026-05-02","Per=Y","Days=T","Dir=V")</f>
        <v>0</v>
      </c>
      <c r="AQ2">
        <f>BDH("SLE US Equity","PX_LAST","1993-06-18","2026-05-02","Per=M","Days=T","Dir=V")</f>
        <v>0</v>
      </c>
      <c r="AS2">
        <f>BDH("SLE US Equity","CUR_MKT_CAP","1993-06-18","2026-05-02","Per=M","Days=T","Dir=V")</f>
        <v>0</v>
      </c>
      <c r="AU2">
        <f>BDH("SLE US Equity","EQY_SH_OUT","1993-06-18","2026-05-02","Per=M","Days=T","Dir=V")</f>
        <v>0</v>
      </c>
      <c r="AW2">
        <f>BDH("SLE US Equity","PX_VOLUME","1993-06-18","2026-05-02","Per=M","Days=T","Dir=V")</f>
        <v>0</v>
      </c>
      <c r="AY2">
        <f>BDH("SLE US Equity","TURNOVER","1993-06-18","2026-05-02","Per=M","Days=T","Dir=V")</f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BDH("SLGN US Equity","BS_TOT_ASSET","1993-06-18","2026-05-02","Per=Y","Days=T","Dir=V")</f>
        <v>0</v>
      </c>
      <c r="C2">
        <f>BDH("SLGN US Equity","BS_TOT_LIAB2","1993-06-18","2026-05-02","Per=Y","Days=T","Dir=V")</f>
        <v>0</v>
      </c>
      <c r="E2">
        <f>BDH("SLGN US Equity","SHORT_AND_LONG_TERM_DEBT","1993-06-18","2026-05-02","Per=Y","Days=T","Dir=V")</f>
        <v>0</v>
      </c>
      <c r="G2">
        <f>BDH("SLGN US Equity","BS_ST_BORROW","1993-06-18","2026-05-02","Per=Y","Days=T","Dir=V")</f>
        <v>0</v>
      </c>
      <c r="I2">
        <f>BDH("SLGN US Equity","BS_LT_BORROW","1993-06-18","2026-05-02","Per=Y","Days=T","Dir=V")</f>
        <v>0</v>
      </c>
      <c r="K2">
        <f>BDH("SLGN US Equity","BS_CASH_NEAR_CASH_ITEM","1993-06-18","2026-05-02","Per=Y","Days=T","Dir=V")</f>
        <v>0</v>
      </c>
      <c r="M2">
        <f>BDH("SLGN US Equity","BS_CUR_ASSET_REPORT","1993-06-18","2026-05-02","Per=Y","Days=T","Dir=V")</f>
        <v>0</v>
      </c>
      <c r="O2">
        <f>BDH("SLGN US Equity","BS_CUR_LIAB","1993-06-18","2026-05-02","Per=Y","Days=T","Dir=V")</f>
        <v>0</v>
      </c>
      <c r="Q2">
        <f>BDH("SLGN US Equity","BS_SHAREHOLDER_EQY_ENDING_PERIOD","1993-06-18","2026-05-02","Per=Y","Days=T","Dir=V")</f>
        <v>0</v>
      </c>
      <c r="S2">
        <f>BDH("SLGN US Equity","BS_ACCT_NOTE_RCV","1993-06-18","2026-05-02","Per=Y","Days=T","Dir=V")</f>
        <v>0</v>
      </c>
      <c r="U2">
        <f>BDH("SLGN US Equity","BS_INVENTORIES","1993-06-18","2026-05-02","Per=Y","Days=T","Dir=V")</f>
        <v>0</v>
      </c>
      <c r="W2">
        <f>BDH("SLGN US Equity","WORKING_CAPITAL","1993-06-18","2026-05-02","Per=Y","Days=T","Dir=V")</f>
        <v>0</v>
      </c>
      <c r="Y2">
        <f>BDH("SLGN US Equity","SALES_REV_TURN","1993-06-18","2026-05-02","Per=Y","Days=T","Dir=V")</f>
        <v>0</v>
      </c>
      <c r="AA2">
        <f>BDH("SLGN US Equity","EBIT","1993-06-18","2026-05-02","Per=Y","Days=T","Dir=V")</f>
        <v>0</v>
      </c>
      <c r="AC2">
        <f>BDH("SLGN US Equity","EBITDA","1993-06-18","2026-05-02","Per=Y","Days=T","Dir=V")</f>
        <v>0</v>
      </c>
      <c r="AE2">
        <f>BDH("SLGN US Equity","NET_INCOME","1993-06-18","2026-05-02","Per=Y","Days=T","Dir=V")</f>
        <v>0</v>
      </c>
      <c r="AG2">
        <f>BDH("SLGN US Equity","IS_INT_EXPENSE","1993-06-18","2026-05-02","Per=Y","Days=T","Dir=V")</f>
        <v>0</v>
      </c>
      <c r="AI2">
        <f>BDH("SLGN US Equity","IS_DEPR_EXP","1993-06-18","2026-05-02","Per=Y","Days=T","Dir=V")</f>
        <v>0</v>
      </c>
      <c r="AK2">
        <f>BDH("SLGN US Equity","CF_CASH_FROM_OPER","1993-06-18","2026-05-02","Per=Y","Days=T","Dir=V")</f>
        <v>0</v>
      </c>
      <c r="AM2">
        <f>BDH("SLGN US Equity","CAPITAL_EXPEND","1993-06-18","2026-05-02","Per=Y","Days=T","Dir=V")</f>
        <v>0</v>
      </c>
      <c r="AO2">
        <f>BDH("SLGN US Equity","CF_FREE_CASH_FLOW","1993-06-18","2026-05-02","Per=Y","Days=T","Dir=V")</f>
        <v>0</v>
      </c>
      <c r="AQ2">
        <f>BDH("SLGN US Equity","PX_LAST","1993-06-18","2026-05-02","Per=M","Days=T","Dir=V")</f>
        <v>0</v>
      </c>
      <c r="AS2">
        <f>BDH("SLGN US Equity","CUR_MKT_CAP","1993-06-18","2026-05-02","Per=M","Days=T","Dir=V")</f>
        <v>0</v>
      </c>
      <c r="AU2">
        <f>BDH("SLGN US Equity","EQY_SH_OUT","1993-06-18","2026-05-02","Per=M","Days=T","Dir=V")</f>
        <v>0</v>
      </c>
      <c r="AW2">
        <f>BDH("SLGN US Equity","PX_VOLUME","1993-06-18","2026-05-02","Per=M","Days=T","Dir=V")</f>
        <v>0</v>
      </c>
      <c r="AY2">
        <f>BDH("SLGN US Equity","TURNOVER","1993-06-18","2026-05-02","Per=M","Days=T","Dir=V")</f>
        <v>0</v>
      </c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BDH("SLND US Equity","BS_TOT_ASSET","1993-06-18","2026-05-02","Per=Y","Days=T","Dir=V")</f>
        <v>0</v>
      </c>
      <c r="C2">
        <f>BDH("SLND US Equity","BS_TOT_LIAB2","1993-06-18","2026-05-02","Per=Y","Days=T","Dir=V")</f>
        <v>0</v>
      </c>
      <c r="E2">
        <f>BDH("SLND US Equity","SHORT_AND_LONG_TERM_DEBT","1993-06-18","2026-05-02","Per=Y","Days=T","Dir=V")</f>
        <v>0</v>
      </c>
      <c r="G2">
        <f>BDH("SLND US Equity","BS_ST_BORROW","1993-06-18","2026-05-02","Per=Y","Days=T","Dir=V")</f>
        <v>0</v>
      </c>
      <c r="I2">
        <f>BDH("SLND US Equity","BS_LT_BORROW","1993-06-18","2026-05-02","Per=Y","Days=T","Dir=V")</f>
        <v>0</v>
      </c>
      <c r="K2">
        <f>BDH("SLND US Equity","BS_CASH_NEAR_CASH_ITEM","1993-06-18","2026-05-02","Per=Y","Days=T","Dir=V")</f>
        <v>0</v>
      </c>
      <c r="M2">
        <f>BDH("SLND US Equity","BS_CUR_ASSET_REPORT","1993-06-18","2026-05-02","Per=Y","Days=T","Dir=V")</f>
        <v>0</v>
      </c>
      <c r="O2">
        <f>BDH("SLND US Equity","BS_CUR_LIAB","1993-06-18","2026-05-02","Per=Y","Days=T","Dir=V")</f>
        <v>0</v>
      </c>
      <c r="Q2">
        <f>BDH("SLND US Equity","BS_SHAREHOLDER_EQY_ENDING_PERIOD","1993-06-18","2026-05-02","Per=Y","Days=T","Dir=V")</f>
        <v>0</v>
      </c>
      <c r="S2">
        <f>BDH("SLND US Equity","BS_ACCT_NOTE_RCV","1993-06-18","2026-05-02","Per=Y","Days=T","Dir=V")</f>
        <v>0</v>
      </c>
      <c r="U2">
        <f>BDH("SLND US Equity","BS_INVENTORIES","1993-06-18","2026-05-02","Per=Y","Days=T","Dir=V")</f>
        <v>0</v>
      </c>
      <c r="W2">
        <f>BDH("SLND US Equity","WORKING_CAPITAL","1993-06-18","2026-05-02","Per=Y","Days=T","Dir=V")</f>
        <v>0</v>
      </c>
      <c r="Y2">
        <f>BDH("SLND US Equity","SALES_REV_TURN","1993-06-18","2026-05-02","Per=Y","Days=T","Dir=V")</f>
        <v>0</v>
      </c>
      <c r="AA2">
        <f>BDH("SLND US Equity","EBIT","1993-06-18","2026-05-02","Per=Y","Days=T","Dir=V")</f>
        <v>0</v>
      </c>
      <c r="AC2">
        <f>BDH("SLND US Equity","EBITDA","1993-06-18","2026-05-02","Per=Y","Days=T","Dir=V")</f>
        <v>0</v>
      </c>
      <c r="AE2">
        <f>BDH("SLND US Equity","NET_INCOME","1993-06-18","2026-05-02","Per=Y","Days=T","Dir=V")</f>
        <v>0</v>
      </c>
      <c r="AG2">
        <f>BDH("SLND US Equity","IS_INT_EXPENSE","1993-06-18","2026-05-02","Per=Y","Days=T","Dir=V")</f>
        <v>0</v>
      </c>
      <c r="AI2">
        <f>BDH("SLND US Equity","IS_DEPR_EXP","1993-06-18","2026-05-02","Per=Y","Days=T","Dir=V")</f>
        <v>0</v>
      </c>
      <c r="AK2">
        <f>BDH("SLND US Equity","CF_CASH_FROM_OPER","1993-06-18","2026-05-02","Per=Y","Days=T","Dir=V")</f>
        <v>0</v>
      </c>
      <c r="AM2">
        <f>BDH("SLND US Equity","CAPITAL_EXPEND","1993-06-18","2026-05-02","Per=Y","Days=T","Dir=V")</f>
        <v>0</v>
      </c>
      <c r="AO2">
        <f>BDH("SLND US Equity","CF_FREE_CASH_FLOW","1993-06-18","2026-05-02","Per=Y","Days=T","Dir=V")</f>
        <v>0</v>
      </c>
      <c r="AQ2">
        <f>BDH("SLND US Equity","PX_LAST","1993-06-18","2026-05-02","Per=M","Days=T","Dir=V")</f>
        <v>0</v>
      </c>
      <c r="AS2">
        <f>BDH("SLND US Equity","CUR_MKT_CAP","1993-06-18","2026-05-02","Per=M","Days=T","Dir=V")</f>
        <v>0</v>
      </c>
      <c r="AU2">
        <f>BDH("SLND US Equity","EQY_SH_OUT","1993-06-18","2026-05-02","Per=M","Days=T","Dir=V")</f>
        <v>0</v>
      </c>
      <c r="AW2">
        <f>BDH("SLND US Equity","PX_VOLUME","1993-06-18","2026-05-02","Per=M","Days=T","Dir=V")</f>
        <v>0</v>
      </c>
      <c r="AY2">
        <f>BDH("SLND US Equity","TURNOVER","1993-06-18","2026-05-02","Per=M","Days=T","Dir=V")</f>
        <v>0</v>
      </c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BDH("SLNG US Equity","BS_TOT_ASSET","1993-06-18","2026-05-02","Per=Y","Days=T","Dir=V")</f>
        <v>0</v>
      </c>
      <c r="C2">
        <f>BDH("SLNG US Equity","BS_TOT_LIAB2","1993-06-18","2026-05-02","Per=Y","Days=T","Dir=V")</f>
        <v>0</v>
      </c>
      <c r="E2">
        <f>BDH("SLNG US Equity","SHORT_AND_LONG_TERM_DEBT","1993-06-18","2026-05-02","Per=Y","Days=T","Dir=V")</f>
        <v>0</v>
      </c>
      <c r="G2">
        <f>BDH("SLNG US Equity","BS_ST_BORROW","1993-06-18","2026-05-02","Per=Y","Days=T","Dir=V")</f>
        <v>0</v>
      </c>
      <c r="I2">
        <f>BDH("SLNG US Equity","BS_LT_BORROW","1993-06-18","2026-05-02","Per=Y","Days=T","Dir=V")</f>
        <v>0</v>
      </c>
      <c r="K2">
        <f>BDH("SLNG US Equity","BS_CASH_NEAR_CASH_ITEM","1993-06-18","2026-05-02","Per=Y","Days=T","Dir=V")</f>
        <v>0</v>
      </c>
      <c r="M2">
        <f>BDH("SLNG US Equity","BS_CUR_ASSET_REPORT","1993-06-18","2026-05-02","Per=Y","Days=T","Dir=V")</f>
        <v>0</v>
      </c>
      <c r="O2">
        <f>BDH("SLNG US Equity","BS_CUR_LIAB","1993-06-18","2026-05-02","Per=Y","Days=T","Dir=V")</f>
        <v>0</v>
      </c>
      <c r="Q2">
        <f>BDH("SLNG US Equity","BS_SHAREHOLDER_EQY_ENDING_PERIOD","1993-06-18","2026-05-02","Per=Y","Days=T","Dir=V")</f>
        <v>0</v>
      </c>
      <c r="S2">
        <f>BDH("SLNG US Equity","BS_ACCT_NOTE_RCV","1993-06-18","2026-05-02","Per=Y","Days=T","Dir=V")</f>
        <v>0</v>
      </c>
      <c r="U2">
        <f>BDH("SLNG US Equity","BS_INVENTORIES","1993-06-18","2026-05-02","Per=Y","Days=T","Dir=V")</f>
        <v>0</v>
      </c>
      <c r="W2">
        <f>BDH("SLNG US Equity","WORKING_CAPITAL","1993-06-18","2026-05-02","Per=Y","Days=T","Dir=V")</f>
        <v>0</v>
      </c>
      <c r="Y2">
        <f>BDH("SLNG US Equity","SALES_REV_TURN","1993-06-18","2026-05-02","Per=Y","Days=T","Dir=V")</f>
        <v>0</v>
      </c>
      <c r="AA2">
        <f>BDH("SLNG US Equity","EBIT","1993-06-18","2026-05-02","Per=Y","Days=T","Dir=V")</f>
        <v>0</v>
      </c>
      <c r="AC2">
        <f>BDH("SLNG US Equity","EBITDA","1993-06-18","2026-05-02","Per=Y","Days=T","Dir=V")</f>
        <v>0</v>
      </c>
      <c r="AE2">
        <f>BDH("SLNG US Equity","NET_INCOME","1993-06-18","2026-05-02","Per=Y","Days=T","Dir=V")</f>
        <v>0</v>
      </c>
      <c r="AG2">
        <f>BDH("SLNG US Equity","IS_INT_EXPENSE","1993-06-18","2026-05-02","Per=Y","Days=T","Dir=V")</f>
        <v>0</v>
      </c>
      <c r="AI2">
        <f>BDH("SLNG US Equity","IS_DEPR_EXP","1993-06-18","2026-05-02","Per=Y","Days=T","Dir=V")</f>
        <v>0</v>
      </c>
      <c r="AK2">
        <f>BDH("SLNG US Equity","CF_CASH_FROM_OPER","1993-06-18","2026-05-02","Per=Y","Days=T","Dir=V")</f>
        <v>0</v>
      </c>
      <c r="AM2">
        <f>BDH("SLNG US Equity","CAPITAL_EXPEND","1993-06-18","2026-05-02","Per=Y","Days=T","Dir=V")</f>
        <v>0</v>
      </c>
      <c r="AO2">
        <f>BDH("SLNG US Equity","CF_FREE_CASH_FLOW","1993-06-18","2026-05-02","Per=Y","Days=T","Dir=V")</f>
        <v>0</v>
      </c>
      <c r="AQ2">
        <f>BDH("SLNG US Equity","PX_LAST","1993-06-18","2026-05-02","Per=M","Days=T","Dir=V")</f>
        <v>0</v>
      </c>
      <c r="AS2">
        <f>BDH("SLNG US Equity","CUR_MKT_CAP","1993-06-18","2026-05-02","Per=M","Days=T","Dir=V")</f>
        <v>0</v>
      </c>
      <c r="AU2">
        <f>BDH("SLNG US Equity","EQY_SH_OUT","1993-06-18","2026-05-02","Per=M","Days=T","Dir=V")</f>
        <v>0</v>
      </c>
      <c r="AW2">
        <f>BDH("SLNG US Equity","PX_VOLUME","1993-06-18","2026-05-02","Per=M","Days=T","Dir=V")</f>
        <v>0</v>
      </c>
      <c r="AY2">
        <f>BDH("SLNG US Equity","TURNOVER","1993-06-18","2026-05-02","Per=M","Days=T","Dir=V")</f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BDH("SLNH US Equity","BS_TOT_ASSET","1993-06-18","2026-05-02","Per=Y","Days=T","Dir=V")</f>
        <v>0</v>
      </c>
      <c r="C2">
        <f>BDH("SLNH US Equity","BS_TOT_LIAB2","1993-06-18","2026-05-02","Per=Y","Days=T","Dir=V")</f>
        <v>0</v>
      </c>
      <c r="E2">
        <f>BDH("SLNH US Equity","SHORT_AND_LONG_TERM_DEBT","1993-06-18","2026-05-02","Per=Y","Days=T","Dir=V")</f>
        <v>0</v>
      </c>
      <c r="G2">
        <f>BDH("SLNH US Equity","BS_ST_BORROW","1993-06-18","2026-05-02","Per=Y","Days=T","Dir=V")</f>
        <v>0</v>
      </c>
      <c r="I2">
        <f>BDH("SLNH US Equity","BS_LT_BORROW","1993-06-18","2026-05-02","Per=Y","Days=T","Dir=V")</f>
        <v>0</v>
      </c>
      <c r="K2">
        <f>BDH("SLNH US Equity","BS_CASH_NEAR_CASH_ITEM","1993-06-18","2026-05-02","Per=Y","Days=T","Dir=V")</f>
        <v>0</v>
      </c>
      <c r="M2">
        <f>BDH("SLNH US Equity","BS_CUR_ASSET_REPORT","1993-06-18","2026-05-02","Per=Y","Days=T","Dir=V")</f>
        <v>0</v>
      </c>
      <c r="O2">
        <f>BDH("SLNH US Equity","BS_CUR_LIAB","1993-06-18","2026-05-02","Per=Y","Days=T","Dir=V")</f>
        <v>0</v>
      </c>
      <c r="Q2">
        <f>BDH("SLNH US Equity","BS_SHAREHOLDER_EQY_ENDING_PERIOD","1993-06-18","2026-05-02","Per=Y","Days=T","Dir=V")</f>
        <v>0</v>
      </c>
      <c r="S2">
        <f>BDH("SLNH US Equity","BS_ACCT_NOTE_RCV","1993-06-18","2026-05-02","Per=Y","Days=T","Dir=V")</f>
        <v>0</v>
      </c>
      <c r="U2">
        <f>BDH("SLNH US Equity","BS_INVENTORIES","1993-06-18","2026-05-02","Per=Y","Days=T","Dir=V")</f>
        <v>0</v>
      </c>
      <c r="W2">
        <f>BDH("SLNH US Equity","WORKING_CAPITAL","1993-06-18","2026-05-02","Per=Y","Days=T","Dir=V")</f>
        <v>0</v>
      </c>
      <c r="Y2">
        <f>BDH("SLNH US Equity","SALES_REV_TURN","1993-06-18","2026-05-02","Per=Y","Days=T","Dir=V")</f>
        <v>0</v>
      </c>
      <c r="AA2">
        <f>BDH("SLNH US Equity","EBIT","1993-06-18","2026-05-02","Per=Y","Days=T","Dir=V")</f>
        <v>0</v>
      </c>
      <c r="AC2">
        <f>BDH("SLNH US Equity","EBITDA","1993-06-18","2026-05-02","Per=Y","Days=T","Dir=V")</f>
        <v>0</v>
      </c>
      <c r="AE2">
        <f>BDH("SLNH US Equity","NET_INCOME","1993-06-18","2026-05-02","Per=Y","Days=T","Dir=V")</f>
        <v>0</v>
      </c>
      <c r="AG2">
        <f>BDH("SLNH US Equity","IS_INT_EXPENSE","1993-06-18","2026-05-02","Per=Y","Days=T","Dir=V")</f>
        <v>0</v>
      </c>
      <c r="AI2">
        <f>BDH("SLNH US Equity","IS_DEPR_EXP","1993-06-18","2026-05-02","Per=Y","Days=T","Dir=V")</f>
        <v>0</v>
      </c>
      <c r="AK2">
        <f>BDH("SLNH US Equity","CF_CASH_FROM_OPER","1993-06-18","2026-05-02","Per=Y","Days=T","Dir=V")</f>
        <v>0</v>
      </c>
      <c r="AM2">
        <f>BDH("SLNH US Equity","CAPITAL_EXPEND","1993-06-18","2026-05-02","Per=Y","Days=T","Dir=V")</f>
        <v>0</v>
      </c>
      <c r="AO2">
        <f>BDH("SLNH US Equity","CF_FREE_CASH_FLOW","1993-06-18","2026-05-02","Per=Y","Days=T","Dir=V")</f>
        <v>0</v>
      </c>
      <c r="AQ2">
        <f>BDH("SLNH US Equity","PX_LAST","1993-06-18","2026-05-02","Per=M","Days=T","Dir=V")</f>
        <v>0</v>
      </c>
      <c r="AS2">
        <f>BDH("SLNH US Equity","CUR_MKT_CAP","1993-06-18","2026-05-02","Per=M","Days=T","Dir=V")</f>
        <v>0</v>
      </c>
      <c r="AU2">
        <f>BDH("SLNH US Equity","EQY_SH_OUT","1993-06-18","2026-05-02","Per=M","Days=T","Dir=V")</f>
        <v>0</v>
      </c>
      <c r="AW2">
        <f>BDH("SLNH US Equity","PX_VOLUME","1993-06-18","2026-05-02","Per=M","Days=T","Dir=V")</f>
        <v>0</v>
      </c>
      <c r="AY2">
        <f>BDH("SLNH US Equity","TURNOVER","1993-06-18","2026-05-02","Per=M","Days=T","Dir=V")</f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BDH("SLNHP US Equity","BS_TOT_ASSET","1993-06-18","2026-05-02","Per=Y","Days=T","Dir=V")</f>
        <v>0</v>
      </c>
      <c r="C2">
        <f>BDH("SLNHP US Equity","BS_TOT_LIAB2","1993-06-18","2026-05-02","Per=Y","Days=T","Dir=V")</f>
        <v>0</v>
      </c>
      <c r="E2">
        <f>BDH("SLNHP US Equity","SHORT_AND_LONG_TERM_DEBT","1993-06-18","2026-05-02","Per=Y","Days=T","Dir=V")</f>
        <v>0</v>
      </c>
      <c r="G2">
        <f>BDH("SLNHP US Equity","BS_ST_BORROW","1993-06-18","2026-05-02","Per=Y","Days=T","Dir=V")</f>
        <v>0</v>
      </c>
      <c r="I2">
        <f>BDH("SLNHP US Equity","BS_LT_BORROW","1993-06-18","2026-05-02","Per=Y","Days=T","Dir=V")</f>
        <v>0</v>
      </c>
      <c r="K2">
        <f>BDH("SLNHP US Equity","BS_CASH_NEAR_CASH_ITEM","1993-06-18","2026-05-02","Per=Y","Days=T","Dir=V")</f>
        <v>0</v>
      </c>
      <c r="M2">
        <f>BDH("SLNHP US Equity","BS_CUR_ASSET_REPORT","1993-06-18","2026-05-02","Per=Y","Days=T","Dir=V")</f>
        <v>0</v>
      </c>
      <c r="O2">
        <f>BDH("SLNHP US Equity","BS_CUR_LIAB","1993-06-18","2026-05-02","Per=Y","Days=T","Dir=V")</f>
        <v>0</v>
      </c>
      <c r="Q2">
        <f>BDH("SLNHP US Equity","BS_SHAREHOLDER_EQY_ENDING_PERIOD","1993-06-18","2026-05-02","Per=Y","Days=T","Dir=V")</f>
        <v>0</v>
      </c>
      <c r="S2">
        <f>BDH("SLNHP US Equity","BS_ACCT_NOTE_RCV","1993-06-18","2026-05-02","Per=Y","Days=T","Dir=V")</f>
        <v>0</v>
      </c>
      <c r="U2">
        <f>BDH("SLNHP US Equity","BS_INVENTORIES","1993-06-18","2026-05-02","Per=Y","Days=T","Dir=V")</f>
        <v>0</v>
      </c>
      <c r="W2">
        <f>BDH("SLNHP US Equity","WORKING_CAPITAL","1993-06-18","2026-05-02","Per=Y","Days=T","Dir=V")</f>
        <v>0</v>
      </c>
      <c r="Y2">
        <f>BDH("SLNHP US Equity","SALES_REV_TURN","1993-06-18","2026-05-02","Per=Y","Days=T","Dir=V")</f>
        <v>0</v>
      </c>
      <c r="AA2">
        <f>BDH("SLNHP US Equity","EBIT","1993-06-18","2026-05-02","Per=Y","Days=T","Dir=V")</f>
        <v>0</v>
      </c>
      <c r="AC2">
        <f>BDH("SLNHP US Equity","EBITDA","1993-06-18","2026-05-02","Per=Y","Days=T","Dir=V")</f>
        <v>0</v>
      </c>
      <c r="AE2">
        <f>BDH("SLNHP US Equity","NET_INCOME","1993-06-18","2026-05-02","Per=Y","Days=T","Dir=V")</f>
        <v>0</v>
      </c>
      <c r="AG2">
        <f>BDH("SLNHP US Equity","IS_INT_EXPENSE","1993-06-18","2026-05-02","Per=Y","Days=T","Dir=V")</f>
        <v>0</v>
      </c>
      <c r="AI2">
        <f>BDH("SLNHP US Equity","IS_DEPR_EXP","1993-06-18","2026-05-02","Per=Y","Days=T","Dir=V")</f>
        <v>0</v>
      </c>
      <c r="AK2">
        <f>BDH("SLNHP US Equity","CF_CASH_FROM_OPER","1993-06-18","2026-05-02","Per=Y","Days=T","Dir=V")</f>
        <v>0</v>
      </c>
      <c r="AM2">
        <f>BDH("SLNHP US Equity","CAPITAL_EXPEND","1993-06-18","2026-05-02","Per=Y","Days=T","Dir=V")</f>
        <v>0</v>
      </c>
      <c r="AO2">
        <f>BDH("SLNHP US Equity","CF_FREE_CASH_FLOW","1993-06-18","2026-05-02","Per=Y","Days=T","Dir=V")</f>
        <v>0</v>
      </c>
      <c r="AQ2">
        <f>BDH("SLNHP US Equity","PX_LAST","1993-06-18","2026-05-02","Per=M","Days=T","Dir=V")</f>
        <v>0</v>
      </c>
      <c r="AS2">
        <f>BDH("SLNHP US Equity","CUR_MKT_CAP","1993-06-18","2026-05-02","Per=M","Days=T","Dir=V")</f>
        <v>0</v>
      </c>
      <c r="AU2">
        <f>BDH("SLNHP US Equity","EQY_SH_OUT","1993-06-18","2026-05-02","Per=M","Days=T","Dir=V")</f>
        <v>0</v>
      </c>
      <c r="AW2">
        <f>BDH("SLNHP US Equity","PX_VOLUME","1993-06-18","2026-05-02","Per=M","Days=T","Dir=V")</f>
        <v>0</v>
      </c>
      <c r="AY2">
        <f>BDH("SLNHP US Equity","TURNOVER","1993-06-18","2026-05-02","Per=M","Days=T","Dir=V")</f>
        <v>0</v>
      </c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BDH("SLP US Equity","BS_TOT_ASSET","1993-06-18","2026-05-02","Per=Y","Days=T","Dir=V")</f>
        <v>0</v>
      </c>
      <c r="C2">
        <f>BDH("SLP US Equity","BS_TOT_LIAB2","1993-06-18","2026-05-02","Per=Y","Days=T","Dir=V")</f>
        <v>0</v>
      </c>
      <c r="E2">
        <f>BDH("SLP US Equity","SHORT_AND_LONG_TERM_DEBT","1993-06-18","2026-05-02","Per=Y","Days=T","Dir=V")</f>
        <v>0</v>
      </c>
      <c r="G2">
        <f>BDH("SLP US Equity","BS_ST_BORROW","1993-06-18","2026-05-02","Per=Y","Days=T","Dir=V")</f>
        <v>0</v>
      </c>
      <c r="I2">
        <f>BDH("SLP US Equity","BS_LT_BORROW","1993-06-18","2026-05-02","Per=Y","Days=T","Dir=V")</f>
        <v>0</v>
      </c>
      <c r="K2">
        <f>BDH("SLP US Equity","BS_CASH_NEAR_CASH_ITEM","1993-06-18","2026-05-02","Per=Y","Days=T","Dir=V")</f>
        <v>0</v>
      </c>
      <c r="M2">
        <f>BDH("SLP US Equity","BS_CUR_ASSET_REPORT","1993-06-18","2026-05-02","Per=Y","Days=T","Dir=V")</f>
        <v>0</v>
      </c>
      <c r="O2">
        <f>BDH("SLP US Equity","BS_CUR_LIAB","1993-06-18","2026-05-02","Per=Y","Days=T","Dir=V")</f>
        <v>0</v>
      </c>
      <c r="Q2">
        <f>BDH("SLP US Equity","BS_SHAREHOLDER_EQY_ENDING_PERIOD","1993-06-18","2026-05-02","Per=Y","Days=T","Dir=V")</f>
        <v>0</v>
      </c>
      <c r="S2">
        <f>BDH("SLP US Equity","BS_ACCT_NOTE_RCV","1993-06-18","2026-05-02","Per=Y","Days=T","Dir=V")</f>
        <v>0</v>
      </c>
      <c r="U2">
        <f>BDH("SLP US Equity","BS_INVENTORIES","1993-06-18","2026-05-02","Per=Y","Days=T","Dir=V")</f>
        <v>0</v>
      </c>
      <c r="W2">
        <f>BDH("SLP US Equity","WORKING_CAPITAL","1993-06-18","2026-05-02","Per=Y","Days=T","Dir=V")</f>
        <v>0</v>
      </c>
      <c r="Y2">
        <f>BDH("SLP US Equity","SALES_REV_TURN","1993-06-18","2026-05-02","Per=Y","Days=T","Dir=V")</f>
        <v>0</v>
      </c>
      <c r="AA2">
        <f>BDH("SLP US Equity","EBIT","1993-06-18","2026-05-02","Per=Y","Days=T","Dir=V")</f>
        <v>0</v>
      </c>
      <c r="AC2">
        <f>BDH("SLP US Equity","EBITDA","1993-06-18","2026-05-02","Per=Y","Days=T","Dir=V")</f>
        <v>0</v>
      </c>
      <c r="AE2">
        <f>BDH("SLP US Equity","NET_INCOME","1993-06-18","2026-05-02","Per=Y","Days=T","Dir=V")</f>
        <v>0</v>
      </c>
      <c r="AG2">
        <f>BDH("SLP US Equity","IS_INT_EXPENSE","1993-06-18","2026-05-02","Per=Y","Days=T","Dir=V")</f>
        <v>0</v>
      </c>
      <c r="AI2">
        <f>BDH("SLP US Equity","IS_DEPR_EXP","1993-06-18","2026-05-02","Per=Y","Days=T","Dir=V")</f>
        <v>0</v>
      </c>
      <c r="AK2">
        <f>BDH("SLP US Equity","CF_CASH_FROM_OPER","1993-06-18","2026-05-02","Per=Y","Days=T","Dir=V")</f>
        <v>0</v>
      </c>
      <c r="AM2">
        <f>BDH("SLP US Equity","CAPITAL_EXPEND","1993-06-18","2026-05-02","Per=Y","Days=T","Dir=V")</f>
        <v>0</v>
      </c>
      <c r="AO2">
        <f>BDH("SLP US Equity","CF_FREE_CASH_FLOW","1993-06-18","2026-05-02","Per=Y","Days=T","Dir=V")</f>
        <v>0</v>
      </c>
      <c r="AQ2">
        <f>BDH("SLP US Equity","PX_LAST","1993-06-18","2026-05-02","Per=M","Days=T","Dir=V")</f>
        <v>0</v>
      </c>
      <c r="AS2">
        <f>BDH("SLP US Equity","CUR_MKT_CAP","1993-06-18","2026-05-02","Per=M","Days=T","Dir=V")</f>
        <v>0</v>
      </c>
      <c r="AU2">
        <f>BDH("SLP US Equity","EQY_SH_OUT","1993-06-18","2026-05-02","Per=M","Days=T","Dir=V")</f>
        <v>0</v>
      </c>
      <c r="AW2">
        <f>BDH("SLP US Equity","PX_VOLUME","1993-06-18","2026-05-02","Per=M","Days=T","Dir=V")</f>
        <v>0</v>
      </c>
      <c r="AY2">
        <f>BDH("SLP US Equity","TURNOVER","1993-06-18","2026-05-02","Per=M","Days=T","Dir=V")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251</vt:i4>
      </vt:variant>
    </vt:vector>
  </HeadingPairs>
  <TitlesOfParts>
    <vt:vector size="251" baseType="lpstr">
      <vt:lpstr>Security_List</vt:lpstr>
      <vt:lpstr>NB_2231_Quantum-Si Incorporated</vt:lpstr>
      <vt:lpstr>NB_2232_QT Imaging Holdings Inc</vt:lpstr>
      <vt:lpstr>NB_2233_Quanterix Corporation C</vt:lpstr>
      <vt:lpstr>NB_2234_Q32 Bio Inc. Common Sto</vt:lpstr>
      <vt:lpstr>NB_2235_Q2 Holdings Inc. Common</vt:lpstr>
      <vt:lpstr>NB_2236_Quad Graphics Inc Class</vt:lpstr>
      <vt:lpstr>NB_2237_Quantum Computing Inc. </vt:lpstr>
      <vt:lpstr>NB_2238_QuickLogic Corporation </vt:lpstr>
      <vt:lpstr>NB_2239_QVC Group Inc. Common S</vt:lpstr>
      <vt:lpstr>NB_2240_QXO Inc. Common Stock</vt:lpstr>
      <vt:lpstr>NB_2241_Ryder System Inc. Commo</vt:lpstr>
      <vt:lpstr>NB_2242_FreightCar America Inc.</vt:lpstr>
      <vt:lpstr>NB_2243_Rain Enhancement Techno</vt:lpstr>
      <vt:lpstr>NB_2244_Ralliant Corporation Co</vt:lpstr>
      <vt:lpstr>NB_2245_LiveRamp Holdings Inc. </vt:lpstr>
      <vt:lpstr>NB_2246_Rani Therapeutics Holdi</vt:lpstr>
      <vt:lpstr>NB_2247_Rapport Therapeutics In</vt:lpstr>
      <vt:lpstr>NB_2248_Ultragenyx Pharmaceutic</vt:lpstr>
      <vt:lpstr>NB_2249_Rave Restaurant Group I</vt:lpstr>
      <vt:lpstr>NB_2250_Ribbon Communications I</vt:lpstr>
      <vt:lpstr>NB_2251_RBC Bearings Incorporat</vt:lpstr>
      <vt:lpstr>NB_2252_Roblox Corporation Clas</vt:lpstr>
      <vt:lpstr>NB_2253_Rubrik Inc. Class A Com</vt:lpstr>
      <vt:lpstr>NB_2254_Red Cat Holdings Inc. C</vt:lpstr>
      <vt:lpstr>NB_2255_Avita Medical Inc. Comm</vt:lpstr>
      <vt:lpstr>NB_2256_Rocket Pharmaceuticals </vt:lpstr>
      <vt:lpstr>NB_2257_Rocky Brands Inc. Commo</vt:lpstr>
      <vt:lpstr>NB_2258_Royal Caribbean Cruises</vt:lpstr>
      <vt:lpstr>NB_2259_RCM Technologies Inc. C</vt:lpstr>
      <vt:lpstr>NB_2260_Arcus Biosciences Inc. </vt:lpstr>
      <vt:lpstr>NB_2261_Reddit Inc. Class A Com</vt:lpstr>
      <vt:lpstr>NB_2262_Reading International I</vt:lpstr>
      <vt:lpstr>NB_2263_Reading International I</vt:lpstr>
      <vt:lpstr>NB_2264_RadNet Inc. Common Stoc</vt:lpstr>
      <vt:lpstr>NB_2265_RideNow Group Inc. Clas</vt:lpstr>
      <vt:lpstr>NB_2266_Red Violet Inc. Common </vt:lpstr>
      <vt:lpstr>NB_2267_Redwire Corporation Com</vt:lpstr>
      <vt:lpstr>NB_2268_The RealReal Inc. Commo</vt:lpstr>
      <vt:lpstr>NB_2269_Reborn Coffee Inc. Comm</vt:lpstr>
      <vt:lpstr>NB_2270_Regeneron Pharmaceutica</vt:lpstr>
      <vt:lpstr>NB_2271_Ring Energy Inc. Common</vt:lpstr>
      <vt:lpstr>NB_2272_Rekor Systems Inc. Comm</vt:lpstr>
      <vt:lpstr>NB_2273_Richardson Electronics </vt:lpstr>
      <vt:lpstr>NB_2274_Remitly Global Inc. Com</vt:lpstr>
      <vt:lpstr>NB_2275_Rent the Runway Inc. Cl</vt:lpstr>
      <vt:lpstr>NB_2276_RenX Enterprises Corp. </vt:lpstr>
      <vt:lpstr>NB_2277_Replimune Group Inc. Co</vt:lpstr>
      <vt:lpstr>NB_2278_Riley Exploration Permi</vt:lpstr>
      <vt:lpstr>NB_2279_RPC Inc. Common Stock</vt:lpstr>
      <vt:lpstr>NB_2280_Revelation Biosciences </vt:lpstr>
      <vt:lpstr>NB_2281_Revelation Biosciences </vt:lpstr>
      <vt:lpstr>NB_2282_REX American Resources </vt:lpstr>
      <vt:lpstr>NB_2283_Reynolds Consumer Produ</vt:lpstr>
      <vt:lpstr>NB_2284_Resideo Technologies In</vt:lpstr>
      <vt:lpstr>NB_2285_RF Industries Ltd. Comm</vt:lpstr>
      <vt:lpstr>NB_2286_Rafael Holdings Inc. Cl</vt:lpstr>
      <vt:lpstr>NB_2287_RGC Resources Inc. Comm</vt:lpstr>
      <vt:lpstr>NB_2288_Repligen Corporation Co</vt:lpstr>
      <vt:lpstr>NB_2289_Royal Gold Inc. Common </vt:lpstr>
      <vt:lpstr>NB_2290_REGENXBIO Inc. Common S</vt:lpstr>
      <vt:lpstr>NB_2291_Resources Connection In</vt:lpstr>
      <vt:lpstr>NB_2292_Sturm Ruger &amp; Company I</vt:lpstr>
      <vt:lpstr>NB_2293_Regis Corporation Commo</vt:lpstr>
      <vt:lpstr>NB_2294_Rigetti Computing Inc. </vt:lpstr>
      <vt:lpstr>NB_2295_Rigetti Computing Inc. </vt:lpstr>
      <vt:lpstr>NB_2296_RH Common Stock</vt:lpstr>
      <vt:lpstr>NB_2297_Robert Half Inc. Common</vt:lpstr>
      <vt:lpstr>NB_2298_RCI Hospitality Holding</vt:lpstr>
      <vt:lpstr>NB_2299_Rigel Pharmaceuticals I</vt:lpstr>
      <vt:lpstr>NB_2300_Algorhythm Holdings Inc</vt:lpstr>
      <vt:lpstr>NB_2301_Rivian Automotive Inc. </vt:lpstr>
      <vt:lpstr>NB_2302_Republic Airways Holdin</vt:lpstr>
      <vt:lpstr>NB_2303_Arcadia Biosciences Inc</vt:lpstr>
      <vt:lpstr>NB_2304_Rocket Lab Corporation </vt:lpstr>
      <vt:lpstr>NB_2305_Rocket One Inc. Common </vt:lpstr>
      <vt:lpstr>NB_2306_Ralph Lauren Corporatio</vt:lpstr>
      <vt:lpstr>NB_2307_Relay Therapeutics Inc.</vt:lpstr>
      <vt:lpstr>NB_2308_Radiant Logistics Inc. </vt:lpstr>
      <vt:lpstr>NB_2309_Relmada Therapeutics In</vt:lpstr>
      <vt:lpstr>NB_2310_Rallybio Corporation Co</vt:lpstr>
      <vt:lpstr>NB_2311_Rambus Inc. Common Stoc</vt:lpstr>
      <vt:lpstr>NB_2312_Rocky Mountain Chocolat</vt:lpstr>
      <vt:lpstr>NB_2313_ResMed Inc. Common Stoc</vt:lpstr>
      <vt:lpstr>NB_2314_Suncrete Inc. Class A C</vt:lpstr>
      <vt:lpstr>NB_2315_Rimini Street Inc. (DE)</vt:lpstr>
      <vt:lpstr>NB_2316_The RMR Group Inc. Clas</vt:lpstr>
      <vt:lpstr>NB_2317_Real Messenger Corporat</vt:lpstr>
      <vt:lpstr>NB_2318_Real Messenger Corporat</vt:lpstr>
      <vt:lpstr>NB_2319_Rockwell Medical Inc. C</vt:lpstr>
      <vt:lpstr>NB_2320_Atrium Therapeutics Inc</vt:lpstr>
      <vt:lpstr>NB_2321_Cartesian Therapeutics </vt:lpstr>
      <vt:lpstr>NB_2322_TransCode Therapeutics </vt:lpstr>
      <vt:lpstr>NB_2323_RingCentral Inc. Class </vt:lpstr>
      <vt:lpstr>NB_2324_Ranger Energy Services </vt:lpstr>
      <vt:lpstr>NB_2325_Rein Therapeutics Inc. </vt:lpstr>
      <vt:lpstr>NB_2326_RenovoRx Inc. Common St</vt:lpstr>
      <vt:lpstr>NB_2327_Construction Partners I</vt:lpstr>
      <vt:lpstr>NB_2328_Rank One Computing Corp</vt:lpstr>
      <vt:lpstr>NB_2329_Gibraltar Industries In</vt:lpstr>
      <vt:lpstr>NB_2330_Rogers Corporation Comm</vt:lpstr>
      <vt:lpstr>NB_2331_Rockwell Automation Inc</vt:lpstr>
      <vt:lpstr>NB_2332_Roku Inc. Class A Commo</vt:lpstr>
      <vt:lpstr>NB_2333_Rollins Inc. Common Sto</vt:lpstr>
      <vt:lpstr>NB_2334_Roper Technologies Inc.</vt:lpstr>
      <vt:lpstr>NB_2335_Ross Stores Inc. Common</vt:lpstr>
      <vt:lpstr>NB_2336_Repay Holdings Corporat</vt:lpstr>
      <vt:lpstr>NB_2337_Rapid7 Inc. Common Stoc</vt:lpstr>
      <vt:lpstr>NB_2338_Rapid Micro Biosystems </vt:lpstr>
      <vt:lpstr>NB_2339_RPM International Inc. </vt:lpstr>
      <vt:lpstr>NB_2340_Royalty Pharma plc Clas</vt:lpstr>
      <vt:lpstr>NB_2341_Richtech Robotics Inc. </vt:lpstr>
      <vt:lpstr>NB_2342_Range Resources Corpora</vt:lpstr>
      <vt:lpstr>NB_2343_Red Robin Gourmet Burge</vt:lpstr>
      <vt:lpstr>NB_2344_Red Rock Resorts Inc. C</vt:lpstr>
      <vt:lpstr>NB_2345_Regal Rexnord Corporati</vt:lpstr>
      <vt:lpstr>NB_2346_Reliance Inc. Common St</vt:lpstr>
      <vt:lpstr>NB_2347_Republic Services Inc. </vt:lpstr>
      <vt:lpstr>NB_2348_Rush Street Interactive</vt:lpstr>
      <vt:lpstr>NB_2349_Research Solutions Inc </vt:lpstr>
      <vt:lpstr>NB_2350_Reservoir Media Inc. Co</vt:lpstr>
      <vt:lpstr>NB_2351_RTB Digital Inc. Common</vt:lpstr>
      <vt:lpstr>NB_2352_Rentokil Initial plc Am</vt:lpstr>
      <vt:lpstr>NB_2353_RTX Corporation Common </vt:lpstr>
      <vt:lpstr>NB_2354_RUM Group Inc. Class A </vt:lpstr>
      <vt:lpstr>NB_2355_RUM Group Inc. Warrant</vt:lpstr>
      <vt:lpstr>NB_2356_Rush Enterprises Inc. C</vt:lpstr>
      <vt:lpstr>NB_2357_Rush Enterprises Inc. C</vt:lpstr>
      <vt:lpstr>NB_2358_Revolve Group Inc. Clas</vt:lpstr>
      <vt:lpstr>NB_2359_Revolution Medicines In</vt:lpstr>
      <vt:lpstr>NB_2360_Revolution Medicines In</vt:lpstr>
      <vt:lpstr>NB_2361_Retractable Technologie</vt:lpstr>
      <vt:lpstr>NB_2362_Revvity Inc. Common Sto</vt:lpstr>
      <vt:lpstr>NB_2363_RXO Inc. Common Stock</vt:lpstr>
      <vt:lpstr>NB_2364_Recursion Pharmaceutica</vt:lpstr>
      <vt:lpstr>NB_2365_RxSight Inc. Common Sto</vt:lpstr>
      <vt:lpstr>NB_2366_Rackspace Technology In</vt:lpstr>
      <vt:lpstr>NB_2367_Rayonier Advanced Mater</vt:lpstr>
      <vt:lpstr>NB_2368_RYTHM Inc. Common Stock</vt:lpstr>
      <vt:lpstr>NB_2369_Rhythm Pharmaceuticals </vt:lpstr>
      <vt:lpstr>NB_2370_Ryerson Holding Corpora</vt:lpstr>
      <vt:lpstr>NB_2371_Rezolute Inc. Common St</vt:lpstr>
      <vt:lpstr>NB_2372_SentinelOne Inc. Class </vt:lpstr>
      <vt:lpstr>NB_2373_Sabre Corporation Commo</vt:lpstr>
      <vt:lpstr>NB_2374_SAB Biotherapeutics Inc</vt:lpstr>
      <vt:lpstr>NB_2375_SAB Biotherapeutics Inc</vt:lpstr>
      <vt:lpstr>NB_2376_XCF Global Inc. Class A</vt:lpstr>
      <vt:lpstr>NB_2377_Sonic Automotive Inc. C</vt:lpstr>
      <vt:lpstr>NB_2378_Saia Inc. Common Stock</vt:lpstr>
      <vt:lpstr>NB_2379_Science Applications In</vt:lpstr>
      <vt:lpstr>NB_2380_SailPoint Inc. Common S</vt:lpstr>
      <vt:lpstr>NB_2381_Boston Beer Company Inc</vt:lpstr>
      <vt:lpstr>NB_2382_Sana Biotechnology Inc.</vt:lpstr>
      <vt:lpstr>NB_2383_Sanmina Corporation Com</vt:lpstr>
      <vt:lpstr>NB_2384_StandardAero Inc. Commo</vt:lpstr>
      <vt:lpstr>NB_2385_SBC Medical Group Holdi</vt:lpstr>
      <vt:lpstr>NB_2386_Sharplink Inc. Common S</vt:lpstr>
      <vt:lpstr>NB_2387_Sinclair Inc. Class A C</vt:lpstr>
      <vt:lpstr>NB_2388_Sally Beauty Holdings I</vt:lpstr>
      <vt:lpstr>NB_2389_Sabine Royalty Trust Co</vt:lpstr>
      <vt:lpstr>NB_2390_Starbucks Corporation C</vt:lpstr>
      <vt:lpstr>NB_2391_Southern Copper Corpora</vt:lpstr>
      <vt:lpstr>NB_2392_Scholastic Corporation </vt:lpstr>
      <vt:lpstr>NB_2393_Service Corporation Int</vt:lpstr>
      <vt:lpstr>NB_2394_Socket Mobile Inc. Comm</vt:lpstr>
      <vt:lpstr>NB_2395_Stepan Company Common S</vt:lpstr>
      <vt:lpstr>NB_2396_Scilex Holding Company </vt:lpstr>
      <vt:lpstr>NB_2397_Scilex Holding Company </vt:lpstr>
      <vt:lpstr>NB_2398_Scienture Holdings Inc.</vt:lpstr>
      <vt:lpstr>NB_2399_comScore Inc. Common St</vt:lpstr>
      <vt:lpstr>NB_2400_ScanSource Inc. Common </vt:lpstr>
      <vt:lpstr>NB_2401_Scribe Therapeutics Inc</vt:lpstr>
      <vt:lpstr>NB_2402_374Water Inc. Common St</vt:lpstr>
      <vt:lpstr>NB_2403_SCYNEXIS Inc. Common St</vt:lpstr>
      <vt:lpstr>NB_2404_SandRidge Energy Inc. C</vt:lpstr>
      <vt:lpstr>NB_2405_Stablecoin Development </vt:lpstr>
      <vt:lpstr>NB_2406_Schrodinger Inc. Common</vt:lpstr>
      <vt:lpstr>NB_2407_Smith Douglas Homes Cor</vt:lpstr>
      <vt:lpstr>NB_2408_Sadot Group Inc. Common</vt:lpstr>
      <vt:lpstr>NB_2409_Stardust Power Inc. Com</vt:lpstr>
      <vt:lpstr>NB_2410_Sea Limited American De</vt:lpstr>
      <vt:lpstr>NB_2411_Vivid Seats Inc. Class </vt:lpstr>
      <vt:lpstr>NB_2412_Vivid Seats Inc. Warran</vt:lpstr>
      <vt:lpstr>NB_2413_Seaboard Corporation Co</vt:lpstr>
      <vt:lpstr>NB_2414_Seer Inc. Class A Commo</vt:lpstr>
      <vt:lpstr>NB_2415_Seaport Entertainment G</vt:lpstr>
      <vt:lpstr>NB_2416_Sports Entertainment Ga</vt:lpstr>
      <vt:lpstr>NB_2417_Solaris Energy Infrastr</vt:lpstr>
      <vt:lpstr>NB_2418_Seneca Foods Corp. Clas</vt:lpstr>
      <vt:lpstr>NB_2419_Seneca Foods Corp. Clas</vt:lpstr>
      <vt:lpstr>NB_2420_Senseonics Holdings Inc</vt:lpstr>
      <vt:lpstr>NB_2421_Septerna Inc. Common St</vt:lpstr>
      <vt:lpstr>NB_2422_Serina Therapeutics Inc</vt:lpstr>
      <vt:lpstr>NB_2423_Sera Prognostics Inc. C</vt:lpstr>
      <vt:lpstr>NB_2424_Serve Robotics Inc. Com</vt:lpstr>
      <vt:lpstr>NB_2425_Aptera Motors Corp. Cla</vt:lpstr>
      <vt:lpstr>NB_2426_Smithfield Foods Inc. C</vt:lpstr>
      <vt:lpstr>NB_2427_Stitch Fix Inc. Class A</vt:lpstr>
      <vt:lpstr>NB_2428_Sprouts Farmers Market </vt:lpstr>
      <vt:lpstr>NB_2429_Sweetgreen Inc. Class A</vt:lpstr>
      <vt:lpstr>NB_2430_Saga Communications Inc</vt:lpstr>
      <vt:lpstr>NB_2431_Superior Group of Compa</vt:lpstr>
      <vt:lpstr>NB_2432_Sight Sciences Inc. Com</vt:lpstr>
      <vt:lpstr>NB_2433_Somnigroup Internationa</vt:lpstr>
      <vt:lpstr>NB_2434_Singularity Future Tech</vt:lpstr>
      <vt:lpstr>NB_2435_Sagimet Biosciences Inc</vt:lpstr>
      <vt:lpstr>NB_2436_SpyGlass Pharma Inc. Co</vt:lpstr>
      <vt:lpstr>NB_2437_Surgery Partners Inc. C</vt:lpstr>
      <vt:lpstr>NB_2438_Star Group L.P. Common </vt:lpstr>
      <vt:lpstr>NB_2439_Shake Shack Inc. Class </vt:lpstr>
      <vt:lpstr>NB_2440_SharonAI Holdings Inc. </vt:lpstr>
      <vt:lpstr>NB_2441_Sotera Health Company C</vt:lpstr>
      <vt:lpstr>NB_2442_Shenandoah Telecommunic</vt:lpstr>
      <vt:lpstr>NB_2443_Shimmick Corporation Co</vt:lpstr>
      <vt:lpstr>NB_2444_Shoals Technologies Gro</vt:lpstr>
      <vt:lpstr>NB_2445_Sunstone Hotel Investor</vt:lpstr>
      <vt:lpstr>NB_2446_Shoe Station Group Inc.</vt:lpstr>
      <vt:lpstr>NB_2447_Steven Madden Ltd. Comm</vt:lpstr>
      <vt:lpstr>NB_2448_Shuttle Pharmaceuticals</vt:lpstr>
      <vt:lpstr>NB_2449_Sherwin-Williams Compan</vt:lpstr>
      <vt:lpstr>NB_2450_Shoulder Innovations In</vt:lpstr>
      <vt:lpstr>NB_2451_SI-BONE Inc. Common Sto</vt:lpstr>
      <vt:lpstr>NB_2452_Sidus Space Inc. Class </vt:lpstr>
      <vt:lpstr>NB_2453_SIFCO Industries Inc. C</vt:lpstr>
      <vt:lpstr>NB_2454_SIGA Technologies Inc. </vt:lpstr>
      <vt:lpstr>NB_2455_Silo Pharma Inc. Common</vt:lpstr>
      <vt:lpstr>NB_2456_SiNtx Technologies Inc.</vt:lpstr>
      <vt:lpstr>NB_2457_Sionna Therapeutics Inc</vt:lpstr>
      <vt:lpstr>NB_2458_SiriusXM Holdings Inc. </vt:lpstr>
      <vt:lpstr>NB_2459_SiteOne Landscape Suppl</vt:lpstr>
      <vt:lpstr>NB_2460_SiTime Corporation Comm</vt:lpstr>
      <vt:lpstr>NB_2461_The J.M. Smucker Compan</vt:lpstr>
      <vt:lpstr>NB_2462_San Juan Basin Royalty </vt:lpstr>
      <vt:lpstr>NB_2463_Skillsoft Corp. Class A</vt:lpstr>
      <vt:lpstr>NB_2464_SkinHealth Systems Inc.</vt:lpstr>
      <vt:lpstr>NB_2465_Champion Homes Inc. Com</vt:lpstr>
      <vt:lpstr>NB_2466_SkyAI Inc. Common Stock</vt:lpstr>
      <vt:lpstr>NB_2467_SkyAI Inc. Warrant</vt:lpstr>
      <vt:lpstr>NB_2468_Skye Bioscience Inc. Co</vt:lpstr>
      <vt:lpstr>NB_2469_Sky Quarry Inc. Common </vt:lpstr>
      <vt:lpstr>NB_2470_SkyWest Inc. Common Sto</vt:lpstr>
      <vt:lpstr>NB_2471_SKYX Platforms Corp. Co</vt:lpstr>
      <vt:lpstr>NB_2472_Silicon Laboratories In</vt:lpstr>
      <vt:lpstr>NB_2473_Solid Biosciences Inc. </vt:lpstr>
      <vt:lpstr>NB_2474_Super League Enterprise</vt:lpstr>
      <vt:lpstr>NB_2475_Silgan Holdings Inc. Co</vt:lpstr>
      <vt:lpstr>NB_2476_Southland Holdings Inc.</vt:lpstr>
      <vt:lpstr>NB_2477_Stabilis Solutions Inc.</vt:lpstr>
      <vt:lpstr>NB_2478_Soluna Holdings Inc. Co</vt:lpstr>
      <vt:lpstr>NB_2479_Soluna Holdings Inc 9.0</vt:lpstr>
      <vt:lpstr>NB_2480_Simulations Plus Inc. C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2026-10-04T16:23:37Z</dcterms:created>
  <dcterms:modified xsi:type="dcterms:W3CDTF">2026-10-04T16:23:37Z</dcterms:modified>
</cp:coreProperties>
</file>