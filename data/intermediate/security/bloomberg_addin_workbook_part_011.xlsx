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2730_Synopsys Inc. Common St" sheetId="2" r:id="rId2"/>
    <sheet name="NB_2803_Strategy Inc 10.00% Ser" sheetId="3" r:id="rId3"/>
    <sheet name="NB_3249_Xperi Inc. Common Stock" sheetId="4" r:id="rId4"/>
    <sheet name="NB_2720_Snap Inc. Class A Commo" sheetId="5" r:id="rId5"/>
    <sheet name="NB_2870_Teads Holding Co. Commo" sheetId="6" r:id="rId6"/>
    <sheet name="NB_111_Ainos Inc. Common Stock" sheetId="7" r:id="rId7"/>
    <sheet name="NB_1219_GE Aerospace Common Sto" sheetId="8" r:id="rId8"/>
    <sheet name="NB_285_Asure Software Inc Commo" sheetId="9" r:id="rId9"/>
    <sheet name="NB_484_Boost Run Inc. Class A C" sheetId="10" r:id="rId10"/>
    <sheet name="NB_1217_GoodRx Holdings Inc. Cl" sheetId="11" r:id="rId11"/>
    <sheet name="NB_1371_Hinge Health Inc. Class" sheetId="12" r:id="rId12"/>
    <sheet name="NB_2244_Paysign Inc. Common Sto" sheetId="13" r:id="rId13"/>
    <sheet name="NB_2273_Pegasystems Inc. Common" sheetId="14" r:id="rId14"/>
    <sheet name="NB_2486_Rigetti Computing Inc. " sheetId="15" r:id="rId15"/>
    <sheet name="NB_223_Amphenol Corporation Com" sheetId="16" r:id="rId16"/>
    <sheet name="NB_266_Arrow Electronics Inc. C" sheetId="17" r:id="rId17"/>
    <sheet name="NB_1019_Enerpac Tool Group Corp" sheetId="18" r:id="rId18"/>
    <sheet name="NB_117_Airgain Inc. Common Stoc" sheetId="19" r:id="rId19"/>
    <sheet name="NB_649_Climb Global Solutions I" sheetId="20" r:id="rId20"/>
    <sheet name="NB_3_Applied Optoelectronics In" sheetId="21" r:id="rId21"/>
    <sheet name="NB_139_Allegro MicroSystems Inc" sheetId="22" r:id="rId22"/>
    <sheet name="NB_177_Amkor Technology Inc. Co" sheetId="23" r:id="rId23"/>
    <sheet name="NB_1637_Kopin Corporation Commo" sheetId="24" r:id="rId24"/>
    <sheet name="NB_1945_Marvell Technology Inc." sheetId="25" r:id="rId25"/>
    <sheet name="NB_1720_Liberty Latin America L" sheetId="26" r:id="rId26"/>
    <sheet name="NB_1511_Intrusion Inc. Common S" sheetId="27" r:id="rId27"/>
    <sheet name="NB_1818_Matthews International " sheetId="28" r:id="rId28"/>
    <sheet name="NB_2913_T-Mobile US Inc. 5.500%" sheetId="29" r:id="rId29"/>
    <sheet name="NB_82_American Electric Power C" sheetId="30" r:id="rId30"/>
    <sheet name="NB_590_Constellation Energy Cor" sheetId="31" r:id="rId31"/>
    <sheet name="NB_2054_Nano Nuclear Energy Inc" sheetId="32" r:id="rId32"/>
    <sheet name="NB_335_Avalon Holdings Corporat" sheetId="33" r:id="rId33"/>
    <sheet name="NB_165_Antero Midstream Corpora" sheetId="34" r:id="rId34"/>
    <sheet name="NB_724_Chesapeake Utilities Cor" sheetId="35" r:id="rId35"/>
    <sheet name="NB_2115_Northwest Natural Holdi" sheetId="36" r:id="rId36"/>
    <sheet name="NB_2036_NiSource Inc Common Sto" sheetId="37" r:id="rId37"/>
    <sheet name="NB_630_Ciena Corporation Common" sheetId="38" r:id="rId38"/>
    <sheet name="NB_3213_Essential Utilities Inc" sheetId="39" r:id="rId39"/>
  </sheets>
  <calcPr calcId="124519" fullCalcOnLoad="1"/>
</workbook>
</file>

<file path=xl/sharedStrings.xml><?xml version="1.0" encoding="utf-8"?>
<sst xmlns="http://schemas.openxmlformats.org/spreadsheetml/2006/main" count="2557" uniqueCount="248">
  <si>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</si>
  <si>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</si>
  <si>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</si>
  <si>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</si>
  <si>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</si>
  <si>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</si>
  <si>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</si>
  <si>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</si>
  <si>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</si>
  <si>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</si>
  <si>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</si>
  <si>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NB_2730</t>
  </si>
  <si>
    <t>nonbankrupt</t>
  </si>
  <si>
    <t/>
  </si>
  <si>
    <t>SNPS</t>
  </si>
  <si>
    <t>Synopsys Inc. Common Stock</t>
  </si>
  <si>
    <t>Technology</t>
  </si>
  <si>
    <t>Computer Software: Prepackaged Software</t>
  </si>
  <si>
    <t>SNPS US Equity</t>
  </si>
  <si>
    <t>2021-06-30</t>
  </si>
  <si>
    <t>2016-06-30</t>
  </si>
  <si>
    <t>NB_2803</t>
  </si>
  <si>
    <t>STRD</t>
  </si>
  <si>
    <t>Strategy Inc 10.00% Series A Perpetual Stride Preferred Stock</t>
  </si>
  <si>
    <t>STRD US Equity</t>
  </si>
  <si>
    <t>NB_3249</t>
  </si>
  <si>
    <t>XPER</t>
  </si>
  <si>
    <t>Xperi Inc. Common Stock</t>
  </si>
  <si>
    <t>XPER US Equity</t>
  </si>
  <si>
    <t>NB_2720</t>
  </si>
  <si>
    <t>SNAP</t>
  </si>
  <si>
    <t>Snap Inc. Class A Common Stock</t>
  </si>
  <si>
    <t>Computer Software: Programming Data Processing</t>
  </si>
  <si>
    <t>SNAP US Equity</t>
  </si>
  <si>
    <t>NB_2870</t>
  </si>
  <si>
    <t>TEAD</t>
  </si>
  <si>
    <t>Teads Holding Co. Common Stock</t>
  </si>
  <si>
    <t>TEAD US Equity</t>
  </si>
  <si>
    <t>NB_111</t>
  </si>
  <si>
    <t>AIMD</t>
  </si>
  <si>
    <t>Ainos Inc. Common Stock</t>
  </si>
  <si>
    <t>Computer peripheral equipment</t>
  </si>
  <si>
    <t>AIMD US Equity</t>
  </si>
  <si>
    <t>NB_1219</t>
  </si>
  <si>
    <t>GE</t>
  </si>
  <si>
    <t>GE Aerospace Common Stock</t>
  </si>
  <si>
    <t>Consumer Electronics/Appliances</t>
  </si>
  <si>
    <t>GE US Equity</t>
  </si>
  <si>
    <t>NB_285</t>
  </si>
  <si>
    <t>ASUR</t>
  </si>
  <si>
    <t>Asure Software Inc Common Stock</t>
  </si>
  <si>
    <t>EDP Services</t>
  </si>
  <si>
    <t>ASUR US Equity</t>
  </si>
  <si>
    <t>NB_484</t>
  </si>
  <si>
    <t>BRUN</t>
  </si>
  <si>
    <t>Boost Run Inc. Class A Common Stock</t>
  </si>
  <si>
    <t>BRUN US Equity</t>
  </si>
  <si>
    <t>NB_1217</t>
  </si>
  <si>
    <t>GDRX</t>
  </si>
  <si>
    <t>GoodRx Holdings Inc. Class A Common Stock</t>
  </si>
  <si>
    <t>GDRX US Equity</t>
  </si>
  <si>
    <t>NB_1371</t>
  </si>
  <si>
    <t>HNGE</t>
  </si>
  <si>
    <t>Hinge Health Inc. Class A Common Stock</t>
  </si>
  <si>
    <t>HNGE US Equity</t>
  </si>
  <si>
    <t>NB_2244</t>
  </si>
  <si>
    <t>PAYS</t>
  </si>
  <si>
    <t>Paysign Inc. Common Stock</t>
  </si>
  <si>
    <t>PAYS US Equity</t>
  </si>
  <si>
    <t>NB_2273</t>
  </si>
  <si>
    <t>PEGA</t>
  </si>
  <si>
    <t>Pegasystems Inc. Common Stock</t>
  </si>
  <si>
    <t>PEGA US Equity</t>
  </si>
  <si>
    <t>NB_2486</t>
  </si>
  <si>
    <t>RGTIW</t>
  </si>
  <si>
    <t>Rigetti Computing Inc. Warrants</t>
  </si>
  <si>
    <t>RGTIW US Equity</t>
  </si>
  <si>
    <t>NB_223</t>
  </si>
  <si>
    <t>APH</t>
  </si>
  <si>
    <t>Amphenol Corporation Common Stock</t>
  </si>
  <si>
    <t>Electrical Products</t>
  </si>
  <si>
    <t>APH US Equity</t>
  </si>
  <si>
    <t>NB_266</t>
  </si>
  <si>
    <t>ARW</t>
  </si>
  <si>
    <t>Arrow Electronics Inc. Common Stock</t>
  </si>
  <si>
    <t>Electronic Components</t>
  </si>
  <si>
    <t>ARW US Equity</t>
  </si>
  <si>
    <t>NB_1019</t>
  </si>
  <si>
    <t>EPAC</t>
  </si>
  <si>
    <t>Enerpac Tool Group Corp. Common Stock</t>
  </si>
  <si>
    <t>Industrial Machinery/Components</t>
  </si>
  <si>
    <t>EPAC US Equity</t>
  </si>
  <si>
    <t>NB_117</t>
  </si>
  <si>
    <t>AIRG</t>
  </si>
  <si>
    <t>Airgain Inc. Common Stock</t>
  </si>
  <si>
    <t>Radio And Television Broadcasting And Communications Equipment</t>
  </si>
  <si>
    <t>AIRG US Equity</t>
  </si>
  <si>
    <t>NB_649</t>
  </si>
  <si>
    <t>CLMB</t>
  </si>
  <si>
    <t>Climb Global Solutions Inc. Common Stock</t>
  </si>
  <si>
    <t>Retail: Computer Software &amp; Peripheral Equipment</t>
  </si>
  <si>
    <t>CLMB US Equity</t>
  </si>
  <si>
    <t>NB_3</t>
  </si>
  <si>
    <t>AAOI</t>
  </si>
  <si>
    <t>Applied Optoelectronics Inc. Common Stock</t>
  </si>
  <si>
    <t>Semiconductors</t>
  </si>
  <si>
    <t>AAOI US Equity</t>
  </si>
  <si>
    <t>NB_139</t>
  </si>
  <si>
    <t>ALGM</t>
  </si>
  <si>
    <t>Allegro MicroSystems Inc. Common Stock</t>
  </si>
  <si>
    <t>ALGM US Equity</t>
  </si>
  <si>
    <t>NB_177</t>
  </si>
  <si>
    <t>AMKR</t>
  </si>
  <si>
    <t>Amkor Technology Inc. Common Stock</t>
  </si>
  <si>
    <t>AMKR US Equity</t>
  </si>
  <si>
    <t>NB_1637</t>
  </si>
  <si>
    <t>KOPN</t>
  </si>
  <si>
    <t>Kopin Corporation Common Stock</t>
  </si>
  <si>
    <t>KOPN US Equity</t>
  </si>
  <si>
    <t>NB_1945</t>
  </si>
  <si>
    <t>MRVL</t>
  </si>
  <si>
    <t>Marvell Technology Inc. Common Stock</t>
  </si>
  <si>
    <t>MRVL US Equity</t>
  </si>
  <si>
    <t>NB_1720</t>
  </si>
  <si>
    <t>LILA</t>
  </si>
  <si>
    <t>Liberty Latin America Ltd. Class A Common Stock</t>
  </si>
  <si>
    <t>Telecommunications</t>
  </si>
  <si>
    <t>Cable &amp; Other Pay Television Services</t>
  </si>
  <si>
    <t>LILA US Equity</t>
  </si>
  <si>
    <t>NB_1511</t>
  </si>
  <si>
    <t>INTZ</t>
  </si>
  <si>
    <t>Intrusion Inc. Common Stock</t>
  </si>
  <si>
    <t>Computer Communications Equipment</t>
  </si>
  <si>
    <t>INTZ US Equity</t>
  </si>
  <si>
    <t>NB_1818</t>
  </si>
  <si>
    <t>MATW</t>
  </si>
  <si>
    <t>Matthews International Corporation Class A Common Stock</t>
  </si>
  <si>
    <t>Metal Fabrications</t>
  </si>
  <si>
    <t>MATW US Equity</t>
  </si>
  <si>
    <t>NB_2913</t>
  </si>
  <si>
    <t>TMUSI</t>
  </si>
  <si>
    <t>T-Mobile US Inc. 5.500% Senior Notes due June 2070</t>
  </si>
  <si>
    <t>Telecommunications Equipment</t>
  </si>
  <si>
    <t>TMUSI US Equity</t>
  </si>
  <si>
    <t>NB_82</t>
  </si>
  <si>
    <t>AEP</t>
  </si>
  <si>
    <t>American Electric Power Company Inc. Common Stock</t>
  </si>
  <si>
    <t>Utilities</t>
  </si>
  <si>
    <t>Electric Utilities: Central</t>
  </si>
  <si>
    <t>AEP US Equity</t>
  </si>
  <si>
    <t>NB_590</t>
  </si>
  <si>
    <t>CEG</t>
  </si>
  <si>
    <t>Constellation Energy Corporation Common Stock</t>
  </si>
  <si>
    <t>CEG US Equity</t>
  </si>
  <si>
    <t>NB_2054</t>
  </si>
  <si>
    <t>NNE</t>
  </si>
  <si>
    <t>Nano Nuclear Energy Inc. Common Stock</t>
  </si>
  <si>
    <t>NNE US Equity</t>
  </si>
  <si>
    <t>NB_335</t>
  </si>
  <si>
    <t>AWX</t>
  </si>
  <si>
    <t>Avalon Holdings Corporation Common Stock</t>
  </si>
  <si>
    <t>Environmental Services</t>
  </si>
  <si>
    <t>AWX US Equity</t>
  </si>
  <si>
    <t>NB_165</t>
  </si>
  <si>
    <t>AM</t>
  </si>
  <si>
    <t>Antero Midstream Corporation Common Stock</t>
  </si>
  <si>
    <t>Natural Gas Distribution</t>
  </si>
  <si>
    <t>AM US Equity</t>
  </si>
  <si>
    <t>NB_724</t>
  </si>
  <si>
    <t>CPK</t>
  </si>
  <si>
    <t>Chesapeake Utilities Corporation Common Stock</t>
  </si>
  <si>
    <t>Oil &amp; Gas Production</t>
  </si>
  <si>
    <t>CPK US Equity</t>
  </si>
  <si>
    <t>NB_2115</t>
  </si>
  <si>
    <t>NWN</t>
  </si>
  <si>
    <t>Northwest Natural Holding Company Common Stock</t>
  </si>
  <si>
    <t>Oil/Gas Transmission</t>
  </si>
  <si>
    <t>NWN US Equity</t>
  </si>
  <si>
    <t>NB_2036</t>
  </si>
  <si>
    <t>NI</t>
  </si>
  <si>
    <t>NiSource Inc Common Stock</t>
  </si>
  <si>
    <t>Power Generation</t>
  </si>
  <si>
    <t>NI US Equity</t>
  </si>
  <si>
    <t>NB_630</t>
  </si>
  <si>
    <t>CIEN</t>
  </si>
  <si>
    <t>Ciena Corporation Common Stock</t>
  </si>
  <si>
    <t>CIEN US Equity</t>
  </si>
  <si>
    <t>NB_3213</t>
  </si>
  <si>
    <t>WTRG</t>
  </si>
  <si>
    <t>Essential Utilities Inc. Common Stock</t>
  </si>
  <si>
    <t>Water Supply</t>
  </si>
  <si>
    <t>WTRG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</si>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</sst>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cols>
    <col min="1" max="11" width="18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24</v>
      </c>
      <c r="I3" t="s">
        <v>19</v>
      </c>
      <c r="J3" t="s">
        <v>20</v>
      </c>
      <c r="K3" t="s">
        <v>19</v>
      </c>
    </row>
    <row r="4" spans="1:11">
      <c r="A4" t="s">
        <v>25</v>
      </c>
      <c r="B4" t="s">
        <v>12</v>
      </c>
      <c r="C4" t="s">
        <v>13</v>
      </c>
      <c r="D4" t="s">
        <v>26</v>
      </c>
      <c r="E4" t="s">
        <v>27</v>
      </c>
      <c r="F4" t="s">
        <v>16</v>
      </c>
      <c r="G4" t="s">
        <v>17</v>
      </c>
      <c r="H4" t="s">
        <v>28</v>
      </c>
      <c r="I4" t="s">
        <v>19</v>
      </c>
      <c r="J4" t="s">
        <v>20</v>
      </c>
      <c r="K4" t="s">
        <v>19</v>
      </c>
    </row>
    <row r="5" spans="1:11">
      <c r="A5" t="s">
        <v>29</v>
      </c>
      <c r="B5" t="s">
        <v>12</v>
      </c>
      <c r="C5" t="s">
        <v>13</v>
      </c>
      <c r="D5" t="s">
        <v>30</v>
      </c>
      <c r="E5" t="s">
        <v>31</v>
      </c>
      <c r="F5" t="s">
        <v>16</v>
      </c>
      <c r="G5" t="s">
        <v>32</v>
      </c>
      <c r="H5" t="s">
        <v>33</v>
      </c>
      <c r="I5" t="s">
        <v>19</v>
      </c>
      <c r="J5" t="s">
        <v>20</v>
      </c>
      <c r="K5" t="s">
        <v>19</v>
      </c>
    </row>
    <row r="6" spans="1:11">
      <c r="A6" t="s">
        <v>34</v>
      </c>
      <c r="B6" t="s">
        <v>12</v>
      </c>
      <c r="C6" t="s">
        <v>13</v>
      </c>
      <c r="D6" t="s">
        <v>35</v>
      </c>
      <c r="E6" t="s">
        <v>36</v>
      </c>
      <c r="F6" t="s">
        <v>16</v>
      </c>
      <c r="G6" t="s">
        <v>32</v>
      </c>
      <c r="H6" t="s">
        <v>37</v>
      </c>
      <c r="I6" t="s">
        <v>19</v>
      </c>
      <c r="J6" t="s">
        <v>20</v>
      </c>
      <c r="K6" t="s">
        <v>19</v>
      </c>
    </row>
    <row r="7" spans="1:11">
      <c r="A7" t="s">
        <v>38</v>
      </c>
      <c r="B7" t="s">
        <v>12</v>
      </c>
      <c r="C7" t="s">
        <v>13</v>
      </c>
      <c r="D7" t="s">
        <v>39</v>
      </c>
      <c r="E7" t="s">
        <v>40</v>
      </c>
      <c r="F7" t="s">
        <v>16</v>
      </c>
      <c r="G7" t="s">
        <v>41</v>
      </c>
      <c r="H7" t="s">
        <v>42</v>
      </c>
      <c r="I7" t="s">
        <v>19</v>
      </c>
      <c r="J7" t="s">
        <v>20</v>
      </c>
      <c r="K7" t="s">
        <v>19</v>
      </c>
    </row>
    <row r="8" spans="1:11">
      <c r="A8" t="s">
        <v>43</v>
      </c>
      <c r="B8" t="s">
        <v>12</v>
      </c>
      <c r="C8" t="s">
        <v>13</v>
      </c>
      <c r="D8" t="s">
        <v>44</v>
      </c>
      <c r="E8" t="s">
        <v>45</v>
      </c>
      <c r="F8" t="s">
        <v>16</v>
      </c>
      <c r="G8" t="s">
        <v>46</v>
      </c>
      <c r="H8" t="s">
        <v>47</v>
      </c>
      <c r="I8" t="s">
        <v>19</v>
      </c>
      <c r="J8" t="s">
        <v>20</v>
      </c>
      <c r="K8" t="s">
        <v>19</v>
      </c>
    </row>
    <row r="9" spans="1:11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16</v>
      </c>
      <c r="G9" t="s">
        <v>51</v>
      </c>
      <c r="H9" t="s">
        <v>52</v>
      </c>
      <c r="I9" t="s">
        <v>19</v>
      </c>
      <c r="J9" t="s">
        <v>20</v>
      </c>
      <c r="K9" t="s">
        <v>19</v>
      </c>
    </row>
    <row r="10" spans="1:11">
      <c r="A10" t="s">
        <v>53</v>
      </c>
      <c r="B10" t="s">
        <v>12</v>
      </c>
      <c r="C10" t="s">
        <v>13</v>
      </c>
      <c r="D10" t="s">
        <v>54</v>
      </c>
      <c r="E10" t="s">
        <v>55</v>
      </c>
      <c r="F10" t="s">
        <v>16</v>
      </c>
      <c r="G10" t="s">
        <v>51</v>
      </c>
      <c r="H10" t="s">
        <v>56</v>
      </c>
      <c r="I10" t="s">
        <v>19</v>
      </c>
      <c r="J10" t="s">
        <v>20</v>
      </c>
      <c r="K10" t="s">
        <v>19</v>
      </c>
    </row>
    <row r="11" spans="1:11">
      <c r="A11" t="s">
        <v>57</v>
      </c>
      <c r="B11" t="s">
        <v>12</v>
      </c>
      <c r="C11" t="s">
        <v>13</v>
      </c>
      <c r="D11" t="s">
        <v>58</v>
      </c>
      <c r="E11" t="s">
        <v>59</v>
      </c>
      <c r="F11" t="s">
        <v>16</v>
      </c>
      <c r="G11" t="s">
        <v>51</v>
      </c>
      <c r="H11" t="s">
        <v>60</v>
      </c>
      <c r="I11" t="s">
        <v>19</v>
      </c>
      <c r="J11" t="s">
        <v>20</v>
      </c>
      <c r="K11" t="s">
        <v>19</v>
      </c>
    </row>
    <row r="12" spans="1:11">
      <c r="A12" t="s">
        <v>61</v>
      </c>
      <c r="B12" t="s">
        <v>12</v>
      </c>
      <c r="C12" t="s">
        <v>13</v>
      </c>
      <c r="D12" t="s">
        <v>62</v>
      </c>
      <c r="E12" t="s">
        <v>63</v>
      </c>
      <c r="F12" t="s">
        <v>16</v>
      </c>
      <c r="G12" t="s">
        <v>51</v>
      </c>
      <c r="H12" t="s">
        <v>64</v>
      </c>
      <c r="I12" t="s">
        <v>19</v>
      </c>
      <c r="J12" t="s">
        <v>20</v>
      </c>
      <c r="K12" t="s">
        <v>19</v>
      </c>
    </row>
    <row r="13" spans="1:11">
      <c r="A13" t="s">
        <v>65</v>
      </c>
      <c r="B13" t="s">
        <v>12</v>
      </c>
      <c r="C13" t="s">
        <v>13</v>
      </c>
      <c r="D13" t="s">
        <v>66</v>
      </c>
      <c r="E13" t="s">
        <v>67</v>
      </c>
      <c r="F13" t="s">
        <v>16</v>
      </c>
      <c r="G13" t="s">
        <v>51</v>
      </c>
      <c r="H13" t="s">
        <v>68</v>
      </c>
      <c r="I13" t="s">
        <v>19</v>
      </c>
      <c r="J13" t="s">
        <v>20</v>
      </c>
      <c r="K13" t="s">
        <v>19</v>
      </c>
    </row>
    <row r="14" spans="1:11">
      <c r="A14" t="s">
        <v>69</v>
      </c>
      <c r="B14" t="s">
        <v>12</v>
      </c>
      <c r="C14" t="s">
        <v>13</v>
      </c>
      <c r="D14" t="s">
        <v>70</v>
      </c>
      <c r="E14" t="s">
        <v>71</v>
      </c>
      <c r="F14" t="s">
        <v>16</v>
      </c>
      <c r="G14" t="s">
        <v>51</v>
      </c>
      <c r="H14" t="s">
        <v>72</v>
      </c>
      <c r="I14" t="s">
        <v>19</v>
      </c>
      <c r="J14" t="s">
        <v>20</v>
      </c>
      <c r="K14" t="s">
        <v>19</v>
      </c>
    </row>
    <row r="15" spans="1:11">
      <c r="A15" t="s">
        <v>73</v>
      </c>
      <c r="B15" t="s">
        <v>12</v>
      </c>
      <c r="C15" t="s">
        <v>13</v>
      </c>
      <c r="D15" t="s">
        <v>74</v>
      </c>
      <c r="E15" t="s">
        <v>75</v>
      </c>
      <c r="F15" t="s">
        <v>16</v>
      </c>
      <c r="G15" t="s">
        <v>51</v>
      </c>
      <c r="H15" t="s">
        <v>76</v>
      </c>
      <c r="I15" t="s">
        <v>19</v>
      </c>
      <c r="J15" t="s">
        <v>20</v>
      </c>
      <c r="K15" t="s">
        <v>19</v>
      </c>
    </row>
    <row r="16" spans="1:11">
      <c r="A16" t="s">
        <v>77</v>
      </c>
      <c r="B16" t="s">
        <v>12</v>
      </c>
      <c r="C16" t="s">
        <v>13</v>
      </c>
      <c r="D16" t="s">
        <v>78</v>
      </c>
      <c r="E16" t="s">
        <v>79</v>
      </c>
      <c r="F16" t="s">
        <v>16</v>
      </c>
      <c r="G16" t="s">
        <v>80</v>
      </c>
      <c r="H16" t="s">
        <v>81</v>
      </c>
      <c r="I16" t="s">
        <v>19</v>
      </c>
      <c r="J16" t="s">
        <v>20</v>
      </c>
      <c r="K16" t="s">
        <v>19</v>
      </c>
    </row>
    <row r="17" spans="1:11">
      <c r="A17" t="s">
        <v>82</v>
      </c>
      <c r="B17" t="s">
        <v>12</v>
      </c>
      <c r="C17" t="s">
        <v>13</v>
      </c>
      <c r="D17" t="s">
        <v>83</v>
      </c>
      <c r="E17" t="s">
        <v>84</v>
      </c>
      <c r="F17" t="s">
        <v>16</v>
      </c>
      <c r="G17" t="s">
        <v>85</v>
      </c>
      <c r="H17" t="s">
        <v>86</v>
      </c>
      <c r="I17" t="s">
        <v>19</v>
      </c>
      <c r="J17" t="s">
        <v>20</v>
      </c>
      <c r="K17" t="s">
        <v>19</v>
      </c>
    </row>
    <row r="18" spans="1:11">
      <c r="A18" t="s">
        <v>87</v>
      </c>
      <c r="B18" t="s">
        <v>12</v>
      </c>
      <c r="C18" t="s">
        <v>13</v>
      </c>
      <c r="D18" t="s">
        <v>88</v>
      </c>
      <c r="E18" t="s">
        <v>89</v>
      </c>
      <c r="F18" t="s">
        <v>16</v>
      </c>
      <c r="G18" t="s">
        <v>90</v>
      </c>
      <c r="H18" t="s">
        <v>91</v>
      </c>
      <c r="I18" t="s">
        <v>19</v>
      </c>
      <c r="J18" t="s">
        <v>20</v>
      </c>
      <c r="K18" t="s">
        <v>19</v>
      </c>
    </row>
    <row r="19" spans="1:11">
      <c r="A19" t="s">
        <v>92</v>
      </c>
      <c r="B19" t="s">
        <v>12</v>
      </c>
      <c r="C19" t="s">
        <v>13</v>
      </c>
      <c r="D19" t="s">
        <v>93</v>
      </c>
      <c r="E19" t="s">
        <v>94</v>
      </c>
      <c r="F19" t="s">
        <v>16</v>
      </c>
      <c r="G19" t="s">
        <v>95</v>
      </c>
      <c r="H19" t="s">
        <v>96</v>
      </c>
      <c r="I19" t="s">
        <v>19</v>
      </c>
      <c r="J19" t="s">
        <v>20</v>
      </c>
      <c r="K19" t="s">
        <v>19</v>
      </c>
    </row>
    <row r="20" spans="1:11">
      <c r="A20" t="s">
        <v>97</v>
      </c>
      <c r="B20" t="s">
        <v>12</v>
      </c>
      <c r="C20" t="s">
        <v>13</v>
      </c>
      <c r="D20" t="s">
        <v>98</v>
      </c>
      <c r="E20" t="s">
        <v>99</v>
      </c>
      <c r="F20" t="s">
        <v>16</v>
      </c>
      <c r="G20" t="s">
        <v>100</v>
      </c>
      <c r="H20" t="s">
        <v>101</v>
      </c>
      <c r="I20" t="s">
        <v>19</v>
      </c>
      <c r="J20" t="s">
        <v>20</v>
      </c>
      <c r="K20" t="s">
        <v>19</v>
      </c>
    </row>
    <row r="21" spans="1:11">
      <c r="A21" t="s">
        <v>102</v>
      </c>
      <c r="B21" t="s">
        <v>12</v>
      </c>
      <c r="C21" t="s">
        <v>13</v>
      </c>
      <c r="D21" t="s">
        <v>103</v>
      </c>
      <c r="E21" t="s">
        <v>104</v>
      </c>
      <c r="F21" t="s">
        <v>16</v>
      </c>
      <c r="G21" t="s">
        <v>105</v>
      </c>
      <c r="H21" t="s">
        <v>106</v>
      </c>
      <c r="I21" t="s">
        <v>19</v>
      </c>
      <c r="J21" t="s">
        <v>20</v>
      </c>
      <c r="K21" t="s">
        <v>19</v>
      </c>
    </row>
    <row r="22" spans="1:11">
      <c r="A22" t="s">
        <v>107</v>
      </c>
      <c r="B22" t="s">
        <v>12</v>
      </c>
      <c r="C22" t="s">
        <v>13</v>
      </c>
      <c r="D22" t="s">
        <v>108</v>
      </c>
      <c r="E22" t="s">
        <v>109</v>
      </c>
      <c r="F22" t="s">
        <v>16</v>
      </c>
      <c r="G22" t="s">
        <v>105</v>
      </c>
      <c r="H22" t="s">
        <v>110</v>
      </c>
      <c r="I22" t="s">
        <v>19</v>
      </c>
      <c r="J22" t="s">
        <v>20</v>
      </c>
      <c r="K22" t="s">
        <v>19</v>
      </c>
    </row>
    <row r="23" spans="1:11">
      <c r="A23" t="s">
        <v>111</v>
      </c>
      <c r="B23" t="s">
        <v>12</v>
      </c>
      <c r="C23" t="s">
        <v>13</v>
      </c>
      <c r="D23" t="s">
        <v>112</v>
      </c>
      <c r="E23" t="s">
        <v>113</v>
      </c>
      <c r="F23" t="s">
        <v>16</v>
      </c>
      <c r="G23" t="s">
        <v>105</v>
      </c>
      <c r="H23" t="s">
        <v>114</v>
      </c>
      <c r="I23" t="s">
        <v>19</v>
      </c>
      <c r="J23" t="s">
        <v>20</v>
      </c>
      <c r="K23" t="s">
        <v>19</v>
      </c>
    </row>
    <row r="24" spans="1:11">
      <c r="A24" t="s">
        <v>115</v>
      </c>
      <c r="B24" t="s">
        <v>12</v>
      </c>
      <c r="C24" t="s">
        <v>13</v>
      </c>
      <c r="D24" t="s">
        <v>116</v>
      </c>
      <c r="E24" t="s">
        <v>117</v>
      </c>
      <c r="F24" t="s">
        <v>16</v>
      </c>
      <c r="G24" t="s">
        <v>105</v>
      </c>
      <c r="H24" t="s">
        <v>118</v>
      </c>
      <c r="I24" t="s">
        <v>19</v>
      </c>
      <c r="J24" t="s">
        <v>20</v>
      </c>
      <c r="K24" t="s">
        <v>19</v>
      </c>
    </row>
    <row r="25" spans="1:11">
      <c r="A25" t="s">
        <v>119</v>
      </c>
      <c r="B25" t="s">
        <v>12</v>
      </c>
      <c r="C25" t="s">
        <v>13</v>
      </c>
      <c r="D25" t="s">
        <v>120</v>
      </c>
      <c r="E25" t="s">
        <v>121</v>
      </c>
      <c r="F25" t="s">
        <v>16</v>
      </c>
      <c r="G25" t="s">
        <v>105</v>
      </c>
      <c r="H25" t="s">
        <v>122</v>
      </c>
      <c r="I25" t="s">
        <v>19</v>
      </c>
      <c r="J25" t="s">
        <v>20</v>
      </c>
      <c r="K25" t="s">
        <v>19</v>
      </c>
    </row>
    <row r="26" spans="1:11">
      <c r="A26" t="s">
        <v>123</v>
      </c>
      <c r="B26" t="s">
        <v>12</v>
      </c>
      <c r="C26" t="s">
        <v>13</v>
      </c>
      <c r="D26" t="s">
        <v>124</v>
      </c>
      <c r="E26" t="s">
        <v>125</v>
      </c>
      <c r="F26" t="s">
        <v>126</v>
      </c>
      <c r="G26" t="s">
        <v>127</v>
      </c>
      <c r="H26" t="s">
        <v>128</v>
      </c>
      <c r="I26" t="s">
        <v>19</v>
      </c>
      <c r="J26" t="s">
        <v>20</v>
      </c>
      <c r="K26" t="s">
        <v>19</v>
      </c>
    </row>
    <row r="27" spans="1:11">
      <c r="A27" t="s">
        <v>129</v>
      </c>
      <c r="B27" t="s">
        <v>12</v>
      </c>
      <c r="C27" t="s">
        <v>13</v>
      </c>
      <c r="D27" t="s">
        <v>130</v>
      </c>
      <c r="E27" t="s">
        <v>131</v>
      </c>
      <c r="F27" t="s">
        <v>126</v>
      </c>
      <c r="G27" t="s">
        <v>132</v>
      </c>
      <c r="H27" t="s">
        <v>133</v>
      </c>
      <c r="I27" t="s">
        <v>19</v>
      </c>
      <c r="J27" t="s">
        <v>20</v>
      </c>
      <c r="K27" t="s">
        <v>19</v>
      </c>
    </row>
    <row r="28" spans="1:11">
      <c r="A28" t="s">
        <v>134</v>
      </c>
      <c r="B28" t="s">
        <v>12</v>
      </c>
      <c r="C28" t="s">
        <v>13</v>
      </c>
      <c r="D28" t="s">
        <v>135</v>
      </c>
      <c r="E28" t="s">
        <v>136</v>
      </c>
      <c r="F28" t="s">
        <v>126</v>
      </c>
      <c r="G28" t="s">
        <v>137</v>
      </c>
      <c r="H28" t="s">
        <v>138</v>
      </c>
      <c r="I28" t="s">
        <v>19</v>
      </c>
      <c r="J28" t="s">
        <v>20</v>
      </c>
      <c r="K28" t="s">
        <v>19</v>
      </c>
    </row>
    <row r="29" spans="1:11">
      <c r="A29" t="s">
        <v>139</v>
      </c>
      <c r="B29" t="s">
        <v>12</v>
      </c>
      <c r="C29" t="s">
        <v>13</v>
      </c>
      <c r="D29" t="s">
        <v>140</v>
      </c>
      <c r="E29" t="s">
        <v>141</v>
      </c>
      <c r="F29" t="s">
        <v>126</v>
      </c>
      <c r="G29" t="s">
        <v>142</v>
      </c>
      <c r="H29" t="s">
        <v>143</v>
      </c>
      <c r="I29" t="s">
        <v>19</v>
      </c>
      <c r="J29" t="s">
        <v>20</v>
      </c>
      <c r="K29" t="s">
        <v>19</v>
      </c>
    </row>
    <row r="30" spans="1:11">
      <c r="A30" t="s">
        <v>144</v>
      </c>
      <c r="B30" t="s">
        <v>12</v>
      </c>
      <c r="C30" t="s">
        <v>13</v>
      </c>
      <c r="D30" t="s">
        <v>145</v>
      </c>
      <c r="E30" t="s">
        <v>146</v>
      </c>
      <c r="F30" t="s">
        <v>147</v>
      </c>
      <c r="G30" t="s">
        <v>148</v>
      </c>
      <c r="H30" t="s">
        <v>149</v>
      </c>
      <c r="I30" t="s">
        <v>19</v>
      </c>
      <c r="J30" t="s">
        <v>20</v>
      </c>
      <c r="K30" t="s">
        <v>19</v>
      </c>
    </row>
    <row r="31" spans="1:11">
      <c r="A31" t="s">
        <v>150</v>
      </c>
      <c r="B31" t="s">
        <v>12</v>
      </c>
      <c r="C31" t="s">
        <v>13</v>
      </c>
      <c r="D31" t="s">
        <v>151</v>
      </c>
      <c r="E31" t="s">
        <v>152</v>
      </c>
      <c r="F31" t="s">
        <v>147</v>
      </c>
      <c r="G31" t="s">
        <v>148</v>
      </c>
      <c r="H31" t="s">
        <v>153</v>
      </c>
      <c r="I31" t="s">
        <v>19</v>
      </c>
      <c r="J31" t="s">
        <v>20</v>
      </c>
      <c r="K31" t="s">
        <v>19</v>
      </c>
    </row>
    <row r="32" spans="1:11">
      <c r="A32" t="s">
        <v>154</v>
      </c>
      <c r="B32" t="s">
        <v>12</v>
      </c>
      <c r="C32" t="s">
        <v>13</v>
      </c>
      <c r="D32" t="s">
        <v>155</v>
      </c>
      <c r="E32" t="s">
        <v>156</v>
      </c>
      <c r="F32" t="s">
        <v>147</v>
      </c>
      <c r="G32" t="s">
        <v>148</v>
      </c>
      <c r="H32" t="s">
        <v>157</v>
      </c>
      <c r="I32" t="s">
        <v>19</v>
      </c>
      <c r="J32" t="s">
        <v>20</v>
      </c>
      <c r="K32" t="s">
        <v>19</v>
      </c>
    </row>
    <row r="33" spans="1:11">
      <c r="A33" t="s">
        <v>158</v>
      </c>
      <c r="B33" t="s">
        <v>12</v>
      </c>
      <c r="C33" t="s">
        <v>13</v>
      </c>
      <c r="D33" t="s">
        <v>159</v>
      </c>
      <c r="E33" t="s">
        <v>160</v>
      </c>
      <c r="F33" t="s">
        <v>147</v>
      </c>
      <c r="G33" t="s">
        <v>161</v>
      </c>
      <c r="H33" t="s">
        <v>162</v>
      </c>
      <c r="I33" t="s">
        <v>19</v>
      </c>
      <c r="J33" t="s">
        <v>20</v>
      </c>
      <c r="K33" t="s">
        <v>19</v>
      </c>
    </row>
    <row r="34" spans="1:11">
      <c r="A34" t="s">
        <v>163</v>
      </c>
      <c r="B34" t="s">
        <v>12</v>
      </c>
      <c r="C34" t="s">
        <v>13</v>
      </c>
      <c r="D34" t="s">
        <v>164</v>
      </c>
      <c r="E34" t="s">
        <v>165</v>
      </c>
      <c r="F34" t="s">
        <v>147</v>
      </c>
      <c r="G34" t="s">
        <v>166</v>
      </c>
      <c r="H34" t="s">
        <v>167</v>
      </c>
      <c r="I34" t="s">
        <v>19</v>
      </c>
      <c r="J34" t="s">
        <v>20</v>
      </c>
      <c r="K34" t="s">
        <v>19</v>
      </c>
    </row>
    <row r="35" spans="1:11">
      <c r="A35" t="s">
        <v>168</v>
      </c>
      <c r="B35" t="s">
        <v>12</v>
      </c>
      <c r="C35" t="s">
        <v>13</v>
      </c>
      <c r="D35" t="s">
        <v>169</v>
      </c>
      <c r="E35" t="s">
        <v>170</v>
      </c>
      <c r="F35" t="s">
        <v>147</v>
      </c>
      <c r="G35" t="s">
        <v>171</v>
      </c>
      <c r="H35" t="s">
        <v>172</v>
      </c>
      <c r="I35" t="s">
        <v>19</v>
      </c>
      <c r="J35" t="s">
        <v>20</v>
      </c>
      <c r="K35" t="s">
        <v>19</v>
      </c>
    </row>
    <row r="36" spans="1:11">
      <c r="A36" t="s">
        <v>173</v>
      </c>
      <c r="B36" t="s">
        <v>12</v>
      </c>
      <c r="C36" t="s">
        <v>13</v>
      </c>
      <c r="D36" t="s">
        <v>174</v>
      </c>
      <c r="E36" t="s">
        <v>175</v>
      </c>
      <c r="F36" t="s">
        <v>147</v>
      </c>
      <c r="G36" t="s">
        <v>176</v>
      </c>
      <c r="H36" t="s">
        <v>177</v>
      </c>
      <c r="I36" t="s">
        <v>19</v>
      </c>
      <c r="J36" t="s">
        <v>20</v>
      </c>
      <c r="K36" t="s">
        <v>19</v>
      </c>
    </row>
    <row r="37" spans="1:11">
      <c r="A37" t="s">
        <v>178</v>
      </c>
      <c r="B37" t="s">
        <v>12</v>
      </c>
      <c r="C37" t="s">
        <v>13</v>
      </c>
      <c r="D37" t="s">
        <v>179</v>
      </c>
      <c r="E37" t="s">
        <v>180</v>
      </c>
      <c r="F37" t="s">
        <v>147</v>
      </c>
      <c r="G37" t="s">
        <v>181</v>
      </c>
      <c r="H37" t="s">
        <v>182</v>
      </c>
      <c r="I37" t="s">
        <v>19</v>
      </c>
      <c r="J37" t="s">
        <v>20</v>
      </c>
      <c r="K37" t="s">
        <v>19</v>
      </c>
    </row>
    <row r="38" spans="1:11">
      <c r="A38" t="s">
        <v>183</v>
      </c>
      <c r="B38" t="s">
        <v>12</v>
      </c>
      <c r="C38" t="s">
        <v>13</v>
      </c>
      <c r="D38" t="s">
        <v>184</v>
      </c>
      <c r="E38" t="s">
        <v>185</v>
      </c>
      <c r="F38" t="s">
        <v>147</v>
      </c>
      <c r="G38" t="s">
        <v>142</v>
      </c>
      <c r="H38" t="s">
        <v>186</v>
      </c>
      <c r="I38" t="s">
        <v>19</v>
      </c>
      <c r="J38" t="s">
        <v>20</v>
      </c>
      <c r="K38" t="s">
        <v>19</v>
      </c>
    </row>
    <row r="39" spans="1:11">
      <c r="A39" t="s">
        <v>187</v>
      </c>
      <c r="B39" t="s">
        <v>12</v>
      </c>
      <c r="C39" t="s">
        <v>13</v>
      </c>
      <c r="D39" t="s">
        <v>188</v>
      </c>
      <c r="E39" t="s">
        <v>189</v>
      </c>
      <c r="F39" t="s">
        <v>147</v>
      </c>
      <c r="G39" t="s">
        <v>190</v>
      </c>
      <c r="H39" t="s">
        <v>191</v>
      </c>
      <c r="I39" t="s">
        <v>19</v>
      </c>
      <c r="J39" t="s">
        <v>20</v>
      </c>
      <c r="K3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BDH("SNPS US Equity","BS_TOT_ASSET","2016-06-30","2021-06-30","Per=Y","Days=T","Dir=V")</f>
        <v>0</v>
      </c>
      <c r="C2">
        <f>BDH("SNPS US Equity","BS_TOT_LIAB2","2016-06-30","2021-06-30","Per=Y","Days=T","Dir=V")</f>
        <v>0</v>
      </c>
      <c r="E2">
        <f>BDH("SNPS US Equity","SHORT_AND_LONG_TERM_DEBT","2016-06-30","2021-06-30","Per=Y","Days=T","Dir=V")</f>
        <v>0</v>
      </c>
      <c r="G2">
        <f>BDH("SNPS US Equity","BS_ST_BORROW","2016-06-30","2021-06-30","Per=Y","Days=T","Dir=V")</f>
        <v>0</v>
      </c>
      <c r="I2">
        <f>BDH("SNPS US Equity","BS_LT_BORROW","2016-06-30","2021-06-30","Per=Y","Days=T","Dir=V")</f>
        <v>0</v>
      </c>
      <c r="K2">
        <f>BDH("SNPS US Equity","BS_CASH_NEAR_CASH_ITEM","2016-06-30","2021-06-30","Per=Y","Days=T","Dir=V")</f>
        <v>0</v>
      </c>
      <c r="M2">
        <f>BDH("SNPS US Equity","BS_CUR_ASSET_REPORT","2016-06-30","2021-06-30","Per=Y","Days=T","Dir=V")</f>
        <v>0</v>
      </c>
      <c r="O2">
        <f>BDH("SNPS US Equity","BS_CUR_LIAB","2016-06-30","2021-06-30","Per=Y","Days=T","Dir=V")</f>
        <v>0</v>
      </c>
      <c r="Q2">
        <f>BDH("SNPS US Equity","BS_SHAREHOLDER_EQY_ENDING_PERIOD","2016-06-30","2021-06-30","Per=Y","Days=T","Dir=V")</f>
        <v>0</v>
      </c>
      <c r="S2">
        <f>BDH("SNPS US Equity","BS_ACCT_NOTE_RCV","2016-06-30","2021-06-30","Per=Y","Days=T","Dir=V")</f>
        <v>0</v>
      </c>
      <c r="U2">
        <f>BDH("SNPS US Equity","BS_INVENTORIES","2016-06-30","2021-06-30","Per=Y","Days=T","Dir=V")</f>
        <v>0</v>
      </c>
      <c r="W2">
        <f>BDH("SNPS US Equity","WORKING_CAPITAL","2016-06-30","2021-06-30","Per=Y","Days=T","Dir=V")</f>
        <v>0</v>
      </c>
      <c r="Y2">
        <f>BDH("SNPS US Equity","SALES_REV_TURN","2016-06-30","2021-06-30","Per=Y","Days=T","Dir=V")</f>
        <v>0</v>
      </c>
      <c r="AA2">
        <f>BDH("SNPS US Equity","EBIT","2016-06-30","2021-06-30","Per=Y","Days=T","Dir=V")</f>
        <v>0</v>
      </c>
      <c r="AC2">
        <f>BDH("SNPS US Equity","EBITDA","2016-06-30","2021-06-30","Per=Y","Days=T","Dir=V")</f>
        <v>0</v>
      </c>
      <c r="AE2">
        <f>BDH("SNPS US Equity","NET_INCOME","2016-06-30","2021-06-30","Per=Y","Days=T","Dir=V")</f>
        <v>0</v>
      </c>
      <c r="AG2">
        <f>BDH("SNPS US Equity","IS_INT_EXPENSE","2016-06-30","2021-06-30","Per=Y","Days=T","Dir=V")</f>
        <v>0</v>
      </c>
      <c r="AI2">
        <f>BDH("SNPS US Equity","IS_DEPR_EXP","2016-06-30","2021-06-30","Per=Y","Days=T","Dir=V")</f>
        <v>0</v>
      </c>
      <c r="AK2">
        <f>BDH("SNPS US Equity","CF_CASH_FROM_OPER","2016-06-30","2021-06-30","Per=Y","Days=T","Dir=V")</f>
        <v>0</v>
      </c>
      <c r="AM2">
        <f>BDH("SNPS US Equity","CAPITAL_EXPEND","2016-06-30","2021-06-30","Per=Y","Days=T","Dir=V")</f>
        <v>0</v>
      </c>
      <c r="AO2">
        <f>BDH("SNPS US Equity","CF_FREE_CASH_FLOW","2016-06-30","2021-06-30","Per=Y","Days=T","Dir=V")</f>
        <v>0</v>
      </c>
      <c r="AQ2">
        <f>BDH("SNPS US Equity","PX_LAST","2016-06-30","2021-06-30","Per=M","Days=T","Dir=V")</f>
        <v>0</v>
      </c>
      <c r="AS2">
        <f>BDH("SNPS US Equity","CUR_MKT_CAP","2016-06-30","2021-06-30","Per=M","Days=T","Dir=V")</f>
        <v>0</v>
      </c>
      <c r="AU2">
        <f>BDH("SNPS US Equity","EQY_SH_OUT","2016-06-30","2021-06-30","Per=M","Days=T","Dir=V")</f>
        <v>0</v>
      </c>
      <c r="AW2">
        <f>BDH("SNPS US Equity","BETA_RAW_OVERRIABLE","2016-06-30","2021-06-30","Per=M","Days=T","Dir=V")</f>
        <v>0</v>
      </c>
      <c r="AY2">
        <f>BDH("SNPS US Equity","PX_VOLUME","2016-06-30","2021-06-30","Per=M","Days=T","Dir=V")</f>
        <v>0</v>
      </c>
      <c r="BA2">
        <f>BDH("SNPS US Equity","TURNOVER","2016-06-30","2021-06-30","Per=M","Days=T","Dir=V")</f>
        <v>0</v>
      </c>
      <c r="BC2">
        <f>BDH("SNPS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BDH("STRD US Equity","BS_TOT_ASSET","2016-06-30","2021-06-30","Per=Y","Days=T","Dir=V")</f>
        <v>0</v>
      </c>
      <c r="C2">
        <f>BDH("STRD US Equity","BS_TOT_LIAB2","2016-06-30","2021-06-30","Per=Y","Days=T","Dir=V")</f>
        <v>0</v>
      </c>
      <c r="E2">
        <f>BDH("STRD US Equity","SHORT_AND_LONG_TERM_DEBT","2016-06-30","2021-06-30","Per=Y","Days=T","Dir=V")</f>
        <v>0</v>
      </c>
      <c r="G2">
        <f>BDH("STRD US Equity","BS_ST_BORROW","2016-06-30","2021-06-30","Per=Y","Days=T","Dir=V")</f>
        <v>0</v>
      </c>
      <c r="I2">
        <f>BDH("STRD US Equity","BS_LT_BORROW","2016-06-30","2021-06-30","Per=Y","Days=T","Dir=V")</f>
        <v>0</v>
      </c>
      <c r="K2">
        <f>BDH("STRD US Equity","BS_CASH_NEAR_CASH_ITEM","2016-06-30","2021-06-30","Per=Y","Days=T","Dir=V")</f>
        <v>0</v>
      </c>
      <c r="M2">
        <f>BDH("STRD US Equity","BS_CUR_ASSET_REPORT","2016-06-30","2021-06-30","Per=Y","Days=T","Dir=V")</f>
        <v>0</v>
      </c>
      <c r="O2">
        <f>BDH("STRD US Equity","BS_CUR_LIAB","2016-06-30","2021-06-30","Per=Y","Days=T","Dir=V")</f>
        <v>0</v>
      </c>
      <c r="Q2">
        <f>BDH("STRD US Equity","BS_SHAREHOLDER_EQY_ENDING_PERIOD","2016-06-30","2021-06-30","Per=Y","Days=T","Dir=V")</f>
        <v>0</v>
      </c>
      <c r="S2">
        <f>BDH("STRD US Equity","BS_ACCT_NOTE_RCV","2016-06-30","2021-06-30","Per=Y","Days=T","Dir=V")</f>
        <v>0</v>
      </c>
      <c r="U2">
        <f>BDH("STRD US Equity","BS_INVENTORIES","2016-06-30","2021-06-30","Per=Y","Days=T","Dir=V")</f>
        <v>0</v>
      </c>
      <c r="W2">
        <f>BDH("STRD US Equity","WORKING_CAPITAL","2016-06-30","2021-06-30","Per=Y","Days=T","Dir=V")</f>
        <v>0</v>
      </c>
      <c r="Y2">
        <f>BDH("STRD US Equity","SALES_REV_TURN","2016-06-30","2021-06-30","Per=Y","Days=T","Dir=V")</f>
        <v>0</v>
      </c>
      <c r="AA2">
        <f>BDH("STRD US Equity","EBIT","2016-06-30","2021-06-30","Per=Y","Days=T","Dir=V")</f>
        <v>0</v>
      </c>
      <c r="AC2">
        <f>BDH("STRD US Equity","EBITDA","2016-06-30","2021-06-30","Per=Y","Days=T","Dir=V")</f>
        <v>0</v>
      </c>
      <c r="AE2">
        <f>BDH("STRD US Equity","NET_INCOME","2016-06-30","2021-06-30","Per=Y","Days=T","Dir=V")</f>
        <v>0</v>
      </c>
      <c r="AG2">
        <f>BDH("STRD US Equity","IS_INT_EXPENSE","2016-06-30","2021-06-30","Per=Y","Days=T","Dir=V")</f>
        <v>0</v>
      </c>
      <c r="AI2">
        <f>BDH("STRD US Equity","IS_DEPR_EXP","2016-06-30","2021-06-30","Per=Y","Days=T","Dir=V")</f>
        <v>0</v>
      </c>
      <c r="AK2">
        <f>BDH("STRD US Equity","CF_CASH_FROM_OPER","2016-06-30","2021-06-30","Per=Y","Days=T","Dir=V")</f>
        <v>0</v>
      </c>
      <c r="AM2">
        <f>BDH("STRD US Equity","CAPITAL_EXPEND","2016-06-30","2021-06-30","Per=Y","Days=T","Dir=V")</f>
        <v>0</v>
      </c>
      <c r="AO2">
        <f>BDH("STRD US Equity","CF_FREE_CASH_FLOW","2016-06-30","2021-06-30","Per=Y","Days=T","Dir=V")</f>
        <v>0</v>
      </c>
      <c r="AQ2">
        <f>BDH("STRD US Equity","PX_LAST","2016-06-30","2021-06-30","Per=M","Days=T","Dir=V")</f>
        <v>0</v>
      </c>
      <c r="AS2">
        <f>BDH("STRD US Equity","CUR_MKT_CAP","2016-06-30","2021-06-30","Per=M","Days=T","Dir=V")</f>
        <v>0</v>
      </c>
      <c r="AU2">
        <f>BDH("STRD US Equity","EQY_SH_OUT","2016-06-30","2021-06-30","Per=M","Days=T","Dir=V")</f>
        <v>0</v>
      </c>
      <c r="AW2">
        <f>BDH("STRD US Equity","BETA_RAW_OVERRIABLE","2016-06-30","2021-06-30","Per=M","Days=T","Dir=V")</f>
        <v>0</v>
      </c>
      <c r="AY2">
        <f>BDH("STRD US Equity","PX_VOLUME","2016-06-30","2021-06-30","Per=M","Days=T","Dir=V")</f>
        <v>0</v>
      </c>
      <c r="BA2">
        <f>BDH("STRD US Equity","TURNOVER","2016-06-30","2021-06-30","Per=M","Days=T","Dir=V")</f>
        <v>0</v>
      </c>
      <c r="BC2">
        <f>BDH("STRD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BDH("XPER US Equity","BS_TOT_ASSET","2016-06-30","2021-06-30","Per=Y","Days=T","Dir=V")</f>
        <v>0</v>
      </c>
      <c r="C2">
        <f>BDH("XPER US Equity","BS_TOT_LIAB2","2016-06-30","2021-06-30","Per=Y","Days=T","Dir=V")</f>
        <v>0</v>
      </c>
      <c r="E2">
        <f>BDH("XPER US Equity","SHORT_AND_LONG_TERM_DEBT","2016-06-30","2021-06-30","Per=Y","Days=T","Dir=V")</f>
        <v>0</v>
      </c>
      <c r="G2">
        <f>BDH("XPER US Equity","BS_ST_BORROW","2016-06-30","2021-06-30","Per=Y","Days=T","Dir=V")</f>
        <v>0</v>
      </c>
      <c r="I2">
        <f>BDH("XPER US Equity","BS_LT_BORROW","2016-06-30","2021-06-30","Per=Y","Days=T","Dir=V")</f>
        <v>0</v>
      </c>
      <c r="K2">
        <f>BDH("XPER US Equity","BS_CASH_NEAR_CASH_ITEM","2016-06-30","2021-06-30","Per=Y","Days=T","Dir=V")</f>
        <v>0</v>
      </c>
      <c r="M2">
        <f>BDH("XPER US Equity","BS_CUR_ASSET_REPORT","2016-06-30","2021-06-30","Per=Y","Days=T","Dir=V")</f>
        <v>0</v>
      </c>
      <c r="O2">
        <f>BDH("XPER US Equity","BS_CUR_LIAB","2016-06-30","2021-06-30","Per=Y","Days=T","Dir=V")</f>
        <v>0</v>
      </c>
      <c r="Q2">
        <f>BDH("XPER US Equity","BS_SHAREHOLDER_EQY_ENDING_PERIOD","2016-06-30","2021-06-30","Per=Y","Days=T","Dir=V")</f>
        <v>0</v>
      </c>
      <c r="S2">
        <f>BDH("XPER US Equity","BS_ACCT_NOTE_RCV","2016-06-30","2021-06-30","Per=Y","Days=T","Dir=V")</f>
        <v>0</v>
      </c>
      <c r="U2">
        <f>BDH("XPER US Equity","BS_INVENTORIES","2016-06-30","2021-06-30","Per=Y","Days=T","Dir=V")</f>
        <v>0</v>
      </c>
      <c r="W2">
        <f>BDH("XPER US Equity","WORKING_CAPITAL","2016-06-30","2021-06-30","Per=Y","Days=T","Dir=V")</f>
        <v>0</v>
      </c>
      <c r="Y2">
        <f>BDH("XPER US Equity","SALES_REV_TURN","2016-06-30","2021-06-30","Per=Y","Days=T","Dir=V")</f>
        <v>0</v>
      </c>
      <c r="AA2">
        <f>BDH("XPER US Equity","EBIT","2016-06-30","2021-06-30","Per=Y","Days=T","Dir=V")</f>
        <v>0</v>
      </c>
      <c r="AC2">
        <f>BDH("XPER US Equity","EBITDA","2016-06-30","2021-06-30","Per=Y","Days=T","Dir=V")</f>
        <v>0</v>
      </c>
      <c r="AE2">
        <f>BDH("XPER US Equity","NET_INCOME","2016-06-30","2021-06-30","Per=Y","Days=T","Dir=V")</f>
        <v>0</v>
      </c>
      <c r="AG2">
        <f>BDH("XPER US Equity","IS_INT_EXPENSE","2016-06-30","2021-06-30","Per=Y","Days=T","Dir=V")</f>
        <v>0</v>
      </c>
      <c r="AI2">
        <f>BDH("XPER US Equity","IS_DEPR_EXP","2016-06-30","2021-06-30","Per=Y","Days=T","Dir=V")</f>
        <v>0</v>
      </c>
      <c r="AK2">
        <f>BDH("XPER US Equity","CF_CASH_FROM_OPER","2016-06-30","2021-06-30","Per=Y","Days=T","Dir=V")</f>
        <v>0</v>
      </c>
      <c r="AM2">
        <f>BDH("XPER US Equity","CAPITAL_EXPEND","2016-06-30","2021-06-30","Per=Y","Days=T","Dir=V")</f>
        <v>0</v>
      </c>
      <c r="AO2">
        <f>BDH("XPER US Equity","CF_FREE_CASH_FLOW","2016-06-30","2021-06-30","Per=Y","Days=T","Dir=V")</f>
        <v>0</v>
      </c>
      <c r="AQ2">
        <f>BDH("XPER US Equity","PX_LAST","2016-06-30","2021-06-30","Per=M","Days=T","Dir=V")</f>
        <v>0</v>
      </c>
      <c r="AS2">
        <f>BDH("XPER US Equity","CUR_MKT_CAP","2016-06-30","2021-06-30","Per=M","Days=T","Dir=V")</f>
        <v>0</v>
      </c>
      <c r="AU2">
        <f>BDH("XPER US Equity","EQY_SH_OUT","2016-06-30","2021-06-30","Per=M","Days=T","Dir=V")</f>
        <v>0</v>
      </c>
      <c r="AW2">
        <f>BDH("XPER US Equity","BETA_RAW_OVERRIABLE","2016-06-30","2021-06-30","Per=M","Days=T","Dir=V")</f>
        <v>0</v>
      </c>
      <c r="AY2">
        <f>BDH("XPER US Equity","PX_VOLUME","2016-06-30","2021-06-30","Per=M","Days=T","Dir=V")</f>
        <v>0</v>
      </c>
      <c r="BA2">
        <f>BDH("XPER US Equity","TURNOVER","2016-06-30","2021-06-30","Per=M","Days=T","Dir=V")</f>
        <v>0</v>
      </c>
      <c r="BC2">
        <f>BDH("XPER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BDH("SNAP US Equity","BS_TOT_ASSET","2016-06-30","2021-06-30","Per=Y","Days=T","Dir=V")</f>
        <v>0</v>
      </c>
      <c r="C2">
        <f>BDH("SNAP US Equity","BS_TOT_LIAB2","2016-06-30","2021-06-30","Per=Y","Days=T","Dir=V")</f>
        <v>0</v>
      </c>
      <c r="E2">
        <f>BDH("SNAP US Equity","SHORT_AND_LONG_TERM_DEBT","2016-06-30","2021-06-30","Per=Y","Days=T","Dir=V")</f>
        <v>0</v>
      </c>
      <c r="G2">
        <f>BDH("SNAP US Equity","BS_ST_BORROW","2016-06-30","2021-06-30","Per=Y","Days=T","Dir=V")</f>
        <v>0</v>
      </c>
      <c r="I2">
        <f>BDH("SNAP US Equity","BS_LT_BORROW","2016-06-30","2021-06-30","Per=Y","Days=T","Dir=V")</f>
        <v>0</v>
      </c>
      <c r="K2">
        <f>BDH("SNAP US Equity","BS_CASH_NEAR_CASH_ITEM","2016-06-30","2021-06-30","Per=Y","Days=T","Dir=V")</f>
        <v>0</v>
      </c>
      <c r="M2">
        <f>BDH("SNAP US Equity","BS_CUR_ASSET_REPORT","2016-06-30","2021-06-30","Per=Y","Days=T","Dir=V")</f>
        <v>0</v>
      </c>
      <c r="O2">
        <f>BDH("SNAP US Equity","BS_CUR_LIAB","2016-06-30","2021-06-30","Per=Y","Days=T","Dir=V")</f>
        <v>0</v>
      </c>
      <c r="Q2">
        <f>BDH("SNAP US Equity","BS_SHAREHOLDER_EQY_ENDING_PERIOD","2016-06-30","2021-06-30","Per=Y","Days=T","Dir=V")</f>
        <v>0</v>
      </c>
      <c r="S2">
        <f>BDH("SNAP US Equity","BS_ACCT_NOTE_RCV","2016-06-30","2021-06-30","Per=Y","Days=T","Dir=V")</f>
        <v>0</v>
      </c>
      <c r="U2">
        <f>BDH("SNAP US Equity","BS_INVENTORIES","2016-06-30","2021-06-30","Per=Y","Days=T","Dir=V")</f>
        <v>0</v>
      </c>
      <c r="W2">
        <f>BDH("SNAP US Equity","WORKING_CAPITAL","2016-06-30","2021-06-30","Per=Y","Days=T","Dir=V")</f>
        <v>0</v>
      </c>
      <c r="Y2">
        <f>BDH("SNAP US Equity","SALES_REV_TURN","2016-06-30","2021-06-30","Per=Y","Days=T","Dir=V")</f>
        <v>0</v>
      </c>
      <c r="AA2">
        <f>BDH("SNAP US Equity","EBIT","2016-06-30","2021-06-30","Per=Y","Days=T","Dir=V")</f>
        <v>0</v>
      </c>
      <c r="AC2">
        <f>BDH("SNAP US Equity","EBITDA","2016-06-30","2021-06-30","Per=Y","Days=T","Dir=V")</f>
        <v>0</v>
      </c>
      <c r="AE2">
        <f>BDH("SNAP US Equity","NET_INCOME","2016-06-30","2021-06-30","Per=Y","Days=T","Dir=V")</f>
        <v>0</v>
      </c>
      <c r="AG2">
        <f>BDH("SNAP US Equity","IS_INT_EXPENSE","2016-06-30","2021-06-30","Per=Y","Days=T","Dir=V")</f>
        <v>0</v>
      </c>
      <c r="AI2">
        <f>BDH("SNAP US Equity","IS_DEPR_EXP","2016-06-30","2021-06-30","Per=Y","Days=T","Dir=V")</f>
        <v>0</v>
      </c>
      <c r="AK2">
        <f>BDH("SNAP US Equity","CF_CASH_FROM_OPER","2016-06-30","2021-06-30","Per=Y","Days=T","Dir=V")</f>
        <v>0</v>
      </c>
      <c r="AM2">
        <f>BDH("SNAP US Equity","CAPITAL_EXPEND","2016-06-30","2021-06-30","Per=Y","Days=T","Dir=V")</f>
        <v>0</v>
      </c>
      <c r="AO2">
        <f>BDH("SNAP US Equity","CF_FREE_CASH_FLOW","2016-06-30","2021-06-30","Per=Y","Days=T","Dir=V")</f>
        <v>0</v>
      </c>
      <c r="AQ2">
        <f>BDH("SNAP US Equity","PX_LAST","2016-06-30","2021-06-30","Per=M","Days=T","Dir=V")</f>
        <v>0</v>
      </c>
      <c r="AS2">
        <f>BDH("SNAP US Equity","CUR_MKT_CAP","2016-06-30","2021-06-30","Per=M","Days=T","Dir=V")</f>
        <v>0</v>
      </c>
      <c r="AU2">
        <f>BDH("SNAP US Equity","EQY_SH_OUT","2016-06-30","2021-06-30","Per=M","Days=T","Dir=V")</f>
        <v>0</v>
      </c>
      <c r="AW2">
        <f>BDH("SNAP US Equity","BETA_RAW_OVERRIABLE","2016-06-30","2021-06-30","Per=M","Days=T","Dir=V")</f>
        <v>0</v>
      </c>
      <c r="AY2">
        <f>BDH("SNAP US Equity","PX_VOLUME","2016-06-30","2021-06-30","Per=M","Days=T","Dir=V")</f>
        <v>0</v>
      </c>
      <c r="BA2">
        <f>BDH("SNAP US Equity","TURNOVER","2016-06-30","2021-06-30","Per=M","Days=T","Dir=V")</f>
        <v>0</v>
      </c>
      <c r="BC2">
        <f>BDH("SNAP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BDH("TEAD US Equity","BS_TOT_ASSET","2016-06-30","2021-06-30","Per=Y","Days=T","Dir=V")</f>
        <v>0</v>
      </c>
      <c r="C2">
        <f>BDH("TEAD US Equity","BS_TOT_LIAB2","2016-06-30","2021-06-30","Per=Y","Days=T","Dir=V")</f>
        <v>0</v>
      </c>
      <c r="E2">
        <f>BDH("TEAD US Equity","SHORT_AND_LONG_TERM_DEBT","2016-06-30","2021-06-30","Per=Y","Days=T","Dir=V")</f>
        <v>0</v>
      </c>
      <c r="G2">
        <f>BDH("TEAD US Equity","BS_ST_BORROW","2016-06-30","2021-06-30","Per=Y","Days=T","Dir=V")</f>
        <v>0</v>
      </c>
      <c r="I2">
        <f>BDH("TEAD US Equity","BS_LT_BORROW","2016-06-30","2021-06-30","Per=Y","Days=T","Dir=V")</f>
        <v>0</v>
      </c>
      <c r="K2">
        <f>BDH("TEAD US Equity","BS_CASH_NEAR_CASH_ITEM","2016-06-30","2021-06-30","Per=Y","Days=T","Dir=V")</f>
        <v>0</v>
      </c>
      <c r="M2">
        <f>BDH("TEAD US Equity","BS_CUR_ASSET_REPORT","2016-06-30","2021-06-30","Per=Y","Days=T","Dir=V")</f>
        <v>0</v>
      </c>
      <c r="O2">
        <f>BDH("TEAD US Equity","BS_CUR_LIAB","2016-06-30","2021-06-30","Per=Y","Days=T","Dir=V")</f>
        <v>0</v>
      </c>
      <c r="Q2">
        <f>BDH("TEAD US Equity","BS_SHAREHOLDER_EQY_ENDING_PERIOD","2016-06-30","2021-06-30","Per=Y","Days=T","Dir=V")</f>
        <v>0</v>
      </c>
      <c r="S2">
        <f>BDH("TEAD US Equity","BS_ACCT_NOTE_RCV","2016-06-30","2021-06-30","Per=Y","Days=T","Dir=V")</f>
        <v>0</v>
      </c>
      <c r="U2">
        <f>BDH("TEAD US Equity","BS_INVENTORIES","2016-06-30","2021-06-30","Per=Y","Days=T","Dir=V")</f>
        <v>0</v>
      </c>
      <c r="W2">
        <f>BDH("TEAD US Equity","WORKING_CAPITAL","2016-06-30","2021-06-30","Per=Y","Days=T","Dir=V")</f>
        <v>0</v>
      </c>
      <c r="Y2">
        <f>BDH("TEAD US Equity","SALES_REV_TURN","2016-06-30","2021-06-30","Per=Y","Days=T","Dir=V")</f>
        <v>0</v>
      </c>
      <c r="AA2">
        <f>BDH("TEAD US Equity","EBIT","2016-06-30","2021-06-30","Per=Y","Days=T","Dir=V")</f>
        <v>0</v>
      </c>
      <c r="AC2">
        <f>BDH("TEAD US Equity","EBITDA","2016-06-30","2021-06-30","Per=Y","Days=T","Dir=V")</f>
        <v>0</v>
      </c>
      <c r="AE2">
        <f>BDH("TEAD US Equity","NET_INCOME","2016-06-30","2021-06-30","Per=Y","Days=T","Dir=V")</f>
        <v>0</v>
      </c>
      <c r="AG2">
        <f>BDH("TEAD US Equity","IS_INT_EXPENSE","2016-06-30","2021-06-30","Per=Y","Days=T","Dir=V")</f>
        <v>0</v>
      </c>
      <c r="AI2">
        <f>BDH("TEAD US Equity","IS_DEPR_EXP","2016-06-30","2021-06-30","Per=Y","Days=T","Dir=V")</f>
        <v>0</v>
      </c>
      <c r="AK2">
        <f>BDH("TEAD US Equity","CF_CASH_FROM_OPER","2016-06-30","2021-06-30","Per=Y","Days=T","Dir=V")</f>
        <v>0</v>
      </c>
      <c r="AM2">
        <f>BDH("TEAD US Equity","CAPITAL_EXPEND","2016-06-30","2021-06-30","Per=Y","Days=T","Dir=V")</f>
        <v>0</v>
      </c>
      <c r="AO2">
        <f>BDH("TEAD US Equity","CF_FREE_CASH_FLOW","2016-06-30","2021-06-30","Per=Y","Days=T","Dir=V")</f>
        <v>0</v>
      </c>
      <c r="AQ2">
        <f>BDH("TEAD US Equity","PX_LAST","2016-06-30","2021-06-30","Per=M","Days=T","Dir=V")</f>
        <v>0</v>
      </c>
      <c r="AS2">
        <f>BDH("TEAD US Equity","CUR_MKT_CAP","2016-06-30","2021-06-30","Per=M","Days=T","Dir=V")</f>
        <v>0</v>
      </c>
      <c r="AU2">
        <f>BDH("TEAD US Equity","EQY_SH_OUT","2016-06-30","2021-06-30","Per=M","Days=T","Dir=V")</f>
        <v>0</v>
      </c>
      <c r="AW2">
        <f>BDH("TEAD US Equity","BETA_RAW_OVERRIABLE","2016-06-30","2021-06-30","Per=M","Days=T","Dir=V")</f>
        <v>0</v>
      </c>
      <c r="AY2">
        <f>BDH("TEAD US Equity","PX_VOLUME","2016-06-30","2021-06-30","Per=M","Days=T","Dir=V")</f>
        <v>0</v>
      </c>
      <c r="BA2">
        <f>BDH("TEAD US Equity","TURNOVER","2016-06-30","2021-06-30","Per=M","Days=T","Dir=V")</f>
        <v>0</v>
      </c>
      <c r="BC2">
        <f>BDH("TEAD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BDH("AIMD US Equity","BS_TOT_ASSET","2016-06-30","2021-06-30","Per=Y","Days=T","Dir=V")</f>
        <v>0</v>
      </c>
      <c r="C2">
        <f>BDH("AIMD US Equity","BS_TOT_LIAB2","2016-06-30","2021-06-30","Per=Y","Days=T","Dir=V")</f>
        <v>0</v>
      </c>
      <c r="E2">
        <f>BDH("AIMD US Equity","SHORT_AND_LONG_TERM_DEBT","2016-06-30","2021-06-30","Per=Y","Days=T","Dir=V")</f>
        <v>0</v>
      </c>
      <c r="G2">
        <f>BDH("AIMD US Equity","BS_ST_BORROW","2016-06-30","2021-06-30","Per=Y","Days=T","Dir=V")</f>
        <v>0</v>
      </c>
      <c r="I2">
        <f>BDH("AIMD US Equity","BS_LT_BORROW","2016-06-30","2021-06-30","Per=Y","Days=T","Dir=V")</f>
        <v>0</v>
      </c>
      <c r="K2">
        <f>BDH("AIMD US Equity","BS_CASH_NEAR_CASH_ITEM","2016-06-30","2021-06-30","Per=Y","Days=T","Dir=V")</f>
        <v>0</v>
      </c>
      <c r="M2">
        <f>BDH("AIMD US Equity","BS_CUR_ASSET_REPORT","2016-06-30","2021-06-30","Per=Y","Days=T","Dir=V")</f>
        <v>0</v>
      </c>
      <c r="O2">
        <f>BDH("AIMD US Equity","BS_CUR_LIAB","2016-06-30","2021-06-30","Per=Y","Days=T","Dir=V")</f>
        <v>0</v>
      </c>
      <c r="Q2">
        <f>BDH("AIMD US Equity","BS_SHAREHOLDER_EQY_ENDING_PERIOD","2016-06-30","2021-06-30","Per=Y","Days=T","Dir=V")</f>
        <v>0</v>
      </c>
      <c r="S2">
        <f>BDH("AIMD US Equity","BS_ACCT_NOTE_RCV","2016-06-30","2021-06-30","Per=Y","Days=T","Dir=V")</f>
        <v>0</v>
      </c>
      <c r="U2">
        <f>BDH("AIMD US Equity","BS_INVENTORIES","2016-06-30","2021-06-30","Per=Y","Days=T","Dir=V")</f>
        <v>0</v>
      </c>
      <c r="W2">
        <f>BDH("AIMD US Equity","WORKING_CAPITAL","2016-06-30","2021-06-30","Per=Y","Days=T","Dir=V")</f>
        <v>0</v>
      </c>
      <c r="Y2">
        <f>BDH("AIMD US Equity","SALES_REV_TURN","2016-06-30","2021-06-30","Per=Y","Days=T","Dir=V")</f>
        <v>0</v>
      </c>
      <c r="AA2">
        <f>BDH("AIMD US Equity","EBIT","2016-06-30","2021-06-30","Per=Y","Days=T","Dir=V")</f>
        <v>0</v>
      </c>
      <c r="AC2">
        <f>BDH("AIMD US Equity","EBITDA","2016-06-30","2021-06-30","Per=Y","Days=T","Dir=V")</f>
        <v>0</v>
      </c>
      <c r="AE2">
        <f>BDH("AIMD US Equity","NET_INCOME","2016-06-30","2021-06-30","Per=Y","Days=T","Dir=V")</f>
        <v>0</v>
      </c>
      <c r="AG2">
        <f>BDH("AIMD US Equity","IS_INT_EXPENSE","2016-06-30","2021-06-30","Per=Y","Days=T","Dir=V")</f>
        <v>0</v>
      </c>
      <c r="AI2">
        <f>BDH("AIMD US Equity","IS_DEPR_EXP","2016-06-30","2021-06-30","Per=Y","Days=T","Dir=V")</f>
        <v>0</v>
      </c>
      <c r="AK2">
        <f>BDH("AIMD US Equity","CF_CASH_FROM_OPER","2016-06-30","2021-06-30","Per=Y","Days=T","Dir=V")</f>
        <v>0</v>
      </c>
      <c r="AM2">
        <f>BDH("AIMD US Equity","CAPITAL_EXPEND","2016-06-30","2021-06-30","Per=Y","Days=T","Dir=V")</f>
        <v>0</v>
      </c>
      <c r="AO2">
        <f>BDH("AIMD US Equity","CF_FREE_CASH_FLOW","2016-06-30","2021-06-30","Per=Y","Days=T","Dir=V")</f>
        <v>0</v>
      </c>
      <c r="AQ2">
        <f>BDH("AIMD US Equity","PX_LAST","2016-06-30","2021-06-30","Per=M","Days=T","Dir=V")</f>
        <v>0</v>
      </c>
      <c r="AS2">
        <f>BDH("AIMD US Equity","CUR_MKT_CAP","2016-06-30","2021-06-30","Per=M","Days=T","Dir=V")</f>
        <v>0</v>
      </c>
      <c r="AU2">
        <f>BDH("AIMD US Equity","EQY_SH_OUT","2016-06-30","2021-06-30","Per=M","Days=T","Dir=V")</f>
        <v>0</v>
      </c>
      <c r="AW2">
        <f>BDH("AIMD US Equity","BETA_RAW_OVERRIABLE","2016-06-30","2021-06-30","Per=M","Days=T","Dir=V")</f>
        <v>0</v>
      </c>
      <c r="AY2">
        <f>BDH("AIMD US Equity","PX_VOLUME","2016-06-30","2021-06-30","Per=M","Days=T","Dir=V")</f>
        <v>0</v>
      </c>
      <c r="BA2">
        <f>BDH("AIMD US Equity","TURNOVER","2016-06-30","2021-06-30","Per=M","Days=T","Dir=V")</f>
        <v>0</v>
      </c>
      <c r="BC2">
        <f>BDH("AIMD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BDH("GE US Equity","BS_TOT_ASSET","2016-06-30","2021-06-30","Per=Y","Days=T","Dir=V")</f>
        <v>0</v>
      </c>
      <c r="C2">
        <f>BDH("GE US Equity","BS_TOT_LIAB2","2016-06-30","2021-06-30","Per=Y","Days=T","Dir=V")</f>
        <v>0</v>
      </c>
      <c r="E2">
        <f>BDH("GE US Equity","SHORT_AND_LONG_TERM_DEBT","2016-06-30","2021-06-30","Per=Y","Days=T","Dir=V")</f>
        <v>0</v>
      </c>
      <c r="G2">
        <f>BDH("GE US Equity","BS_ST_BORROW","2016-06-30","2021-06-30","Per=Y","Days=T","Dir=V")</f>
        <v>0</v>
      </c>
      <c r="I2">
        <f>BDH("GE US Equity","BS_LT_BORROW","2016-06-30","2021-06-30","Per=Y","Days=T","Dir=V")</f>
        <v>0</v>
      </c>
      <c r="K2">
        <f>BDH("GE US Equity","BS_CASH_NEAR_CASH_ITEM","2016-06-30","2021-06-30","Per=Y","Days=T","Dir=V")</f>
        <v>0</v>
      </c>
      <c r="M2">
        <f>BDH("GE US Equity","BS_CUR_ASSET_REPORT","2016-06-30","2021-06-30","Per=Y","Days=T","Dir=V")</f>
        <v>0</v>
      </c>
      <c r="O2">
        <f>BDH("GE US Equity","BS_CUR_LIAB","2016-06-30","2021-06-30","Per=Y","Days=T","Dir=V")</f>
        <v>0</v>
      </c>
      <c r="Q2">
        <f>BDH("GE US Equity","BS_SHAREHOLDER_EQY_ENDING_PERIOD","2016-06-30","2021-06-30","Per=Y","Days=T","Dir=V")</f>
        <v>0</v>
      </c>
      <c r="S2">
        <f>BDH("GE US Equity","BS_ACCT_NOTE_RCV","2016-06-30","2021-06-30","Per=Y","Days=T","Dir=V")</f>
        <v>0</v>
      </c>
      <c r="U2">
        <f>BDH("GE US Equity","BS_INVENTORIES","2016-06-30","2021-06-30","Per=Y","Days=T","Dir=V")</f>
        <v>0</v>
      </c>
      <c r="W2">
        <f>BDH("GE US Equity","WORKING_CAPITAL","2016-06-30","2021-06-30","Per=Y","Days=T","Dir=V")</f>
        <v>0</v>
      </c>
      <c r="Y2">
        <f>BDH("GE US Equity","SALES_REV_TURN","2016-06-30","2021-06-30","Per=Y","Days=T","Dir=V")</f>
        <v>0</v>
      </c>
      <c r="AA2">
        <f>BDH("GE US Equity","EBIT","2016-06-30","2021-06-30","Per=Y","Days=T","Dir=V")</f>
        <v>0</v>
      </c>
      <c r="AC2">
        <f>BDH("GE US Equity","EBITDA","2016-06-30","2021-06-30","Per=Y","Days=T","Dir=V")</f>
        <v>0</v>
      </c>
      <c r="AE2">
        <f>BDH("GE US Equity","NET_INCOME","2016-06-30","2021-06-30","Per=Y","Days=T","Dir=V")</f>
        <v>0</v>
      </c>
      <c r="AG2">
        <f>BDH("GE US Equity","IS_INT_EXPENSE","2016-06-30","2021-06-30","Per=Y","Days=T","Dir=V")</f>
        <v>0</v>
      </c>
      <c r="AI2">
        <f>BDH("GE US Equity","IS_DEPR_EXP","2016-06-30","2021-06-30","Per=Y","Days=T","Dir=V")</f>
        <v>0</v>
      </c>
      <c r="AK2">
        <f>BDH("GE US Equity","CF_CASH_FROM_OPER","2016-06-30","2021-06-30","Per=Y","Days=T","Dir=V")</f>
        <v>0</v>
      </c>
      <c r="AM2">
        <f>BDH("GE US Equity","CAPITAL_EXPEND","2016-06-30","2021-06-30","Per=Y","Days=T","Dir=V")</f>
        <v>0</v>
      </c>
      <c r="AO2">
        <f>BDH("GE US Equity","CF_FREE_CASH_FLOW","2016-06-30","2021-06-30","Per=Y","Days=T","Dir=V")</f>
        <v>0</v>
      </c>
      <c r="AQ2">
        <f>BDH("GE US Equity","PX_LAST","2016-06-30","2021-06-30","Per=M","Days=T","Dir=V")</f>
        <v>0</v>
      </c>
      <c r="AS2">
        <f>BDH("GE US Equity","CUR_MKT_CAP","2016-06-30","2021-06-30","Per=M","Days=T","Dir=V")</f>
        <v>0</v>
      </c>
      <c r="AU2">
        <f>BDH("GE US Equity","EQY_SH_OUT","2016-06-30","2021-06-30","Per=M","Days=T","Dir=V")</f>
        <v>0</v>
      </c>
      <c r="AW2">
        <f>BDH("GE US Equity","BETA_RAW_OVERRIABLE","2016-06-30","2021-06-30","Per=M","Days=T","Dir=V")</f>
        <v>0</v>
      </c>
      <c r="AY2">
        <f>BDH("GE US Equity","PX_VOLUME","2016-06-30","2021-06-30","Per=M","Days=T","Dir=V")</f>
        <v>0</v>
      </c>
      <c r="BA2">
        <f>BDH("GE US Equity","TURNOVER","2016-06-30","2021-06-30","Per=M","Days=T","Dir=V")</f>
        <v>0</v>
      </c>
      <c r="BC2">
        <f>BDH("GE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BDH("ASUR US Equity","BS_TOT_ASSET","2016-06-30","2021-06-30","Per=Y","Days=T","Dir=V")</f>
        <v>0</v>
      </c>
      <c r="C2">
        <f>BDH("ASUR US Equity","BS_TOT_LIAB2","2016-06-30","2021-06-30","Per=Y","Days=T","Dir=V")</f>
        <v>0</v>
      </c>
      <c r="E2">
        <f>BDH("ASUR US Equity","SHORT_AND_LONG_TERM_DEBT","2016-06-30","2021-06-30","Per=Y","Days=T","Dir=V")</f>
        <v>0</v>
      </c>
      <c r="G2">
        <f>BDH("ASUR US Equity","BS_ST_BORROW","2016-06-30","2021-06-30","Per=Y","Days=T","Dir=V")</f>
        <v>0</v>
      </c>
      <c r="I2">
        <f>BDH("ASUR US Equity","BS_LT_BORROW","2016-06-30","2021-06-30","Per=Y","Days=T","Dir=V")</f>
        <v>0</v>
      </c>
      <c r="K2">
        <f>BDH("ASUR US Equity","BS_CASH_NEAR_CASH_ITEM","2016-06-30","2021-06-30","Per=Y","Days=T","Dir=V")</f>
        <v>0</v>
      </c>
      <c r="M2">
        <f>BDH("ASUR US Equity","BS_CUR_ASSET_REPORT","2016-06-30","2021-06-30","Per=Y","Days=T","Dir=V")</f>
        <v>0</v>
      </c>
      <c r="O2">
        <f>BDH("ASUR US Equity","BS_CUR_LIAB","2016-06-30","2021-06-30","Per=Y","Days=T","Dir=V")</f>
        <v>0</v>
      </c>
      <c r="Q2">
        <f>BDH("ASUR US Equity","BS_SHAREHOLDER_EQY_ENDING_PERIOD","2016-06-30","2021-06-30","Per=Y","Days=T","Dir=V")</f>
        <v>0</v>
      </c>
      <c r="S2">
        <f>BDH("ASUR US Equity","BS_ACCT_NOTE_RCV","2016-06-30","2021-06-30","Per=Y","Days=T","Dir=V")</f>
        <v>0</v>
      </c>
      <c r="U2">
        <f>BDH("ASUR US Equity","BS_INVENTORIES","2016-06-30","2021-06-30","Per=Y","Days=T","Dir=V")</f>
        <v>0</v>
      </c>
      <c r="W2">
        <f>BDH("ASUR US Equity","WORKING_CAPITAL","2016-06-30","2021-06-30","Per=Y","Days=T","Dir=V")</f>
        <v>0</v>
      </c>
      <c r="Y2">
        <f>BDH("ASUR US Equity","SALES_REV_TURN","2016-06-30","2021-06-30","Per=Y","Days=T","Dir=V")</f>
        <v>0</v>
      </c>
      <c r="AA2">
        <f>BDH("ASUR US Equity","EBIT","2016-06-30","2021-06-30","Per=Y","Days=T","Dir=V")</f>
        <v>0</v>
      </c>
      <c r="AC2">
        <f>BDH("ASUR US Equity","EBITDA","2016-06-30","2021-06-30","Per=Y","Days=T","Dir=V")</f>
        <v>0</v>
      </c>
      <c r="AE2">
        <f>BDH("ASUR US Equity","NET_INCOME","2016-06-30","2021-06-30","Per=Y","Days=T","Dir=V")</f>
        <v>0</v>
      </c>
      <c r="AG2">
        <f>BDH("ASUR US Equity","IS_INT_EXPENSE","2016-06-30","2021-06-30","Per=Y","Days=T","Dir=V")</f>
        <v>0</v>
      </c>
      <c r="AI2">
        <f>BDH("ASUR US Equity","IS_DEPR_EXP","2016-06-30","2021-06-30","Per=Y","Days=T","Dir=V")</f>
        <v>0</v>
      </c>
      <c r="AK2">
        <f>BDH("ASUR US Equity","CF_CASH_FROM_OPER","2016-06-30","2021-06-30","Per=Y","Days=T","Dir=V")</f>
        <v>0</v>
      </c>
      <c r="AM2">
        <f>BDH("ASUR US Equity","CAPITAL_EXPEND","2016-06-30","2021-06-30","Per=Y","Days=T","Dir=V")</f>
        <v>0</v>
      </c>
      <c r="AO2">
        <f>BDH("ASUR US Equity","CF_FREE_CASH_FLOW","2016-06-30","2021-06-30","Per=Y","Days=T","Dir=V")</f>
        <v>0</v>
      </c>
      <c r="AQ2">
        <f>BDH("ASUR US Equity","PX_LAST","2016-06-30","2021-06-30","Per=M","Days=T","Dir=V")</f>
        <v>0</v>
      </c>
      <c r="AS2">
        <f>BDH("ASUR US Equity","CUR_MKT_CAP","2016-06-30","2021-06-30","Per=M","Days=T","Dir=V")</f>
        <v>0</v>
      </c>
      <c r="AU2">
        <f>BDH("ASUR US Equity","EQY_SH_OUT","2016-06-30","2021-06-30","Per=M","Days=T","Dir=V")</f>
        <v>0</v>
      </c>
      <c r="AW2">
        <f>BDH("ASUR US Equity","BETA_RAW_OVERRIABLE","2016-06-30","2021-06-30","Per=M","Days=T","Dir=V")</f>
        <v>0</v>
      </c>
      <c r="AY2">
        <f>BDH("ASUR US Equity","PX_VOLUME","2016-06-30","2021-06-30","Per=M","Days=T","Dir=V")</f>
        <v>0</v>
      </c>
      <c r="BA2">
        <f>BDH("ASUR US Equity","TURNOVER","2016-06-30","2021-06-30","Per=M","Days=T","Dir=V")</f>
        <v>0</v>
      </c>
      <c r="BC2">
        <f>BDH("ASUR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BDH("BRUN US Equity","BS_TOT_ASSET","2016-06-30","2021-06-30","Per=Y","Days=T","Dir=V")</f>
        <v>0</v>
      </c>
      <c r="C2">
        <f>BDH("BRUN US Equity","BS_TOT_LIAB2","2016-06-30","2021-06-30","Per=Y","Days=T","Dir=V")</f>
        <v>0</v>
      </c>
      <c r="E2">
        <f>BDH("BRUN US Equity","SHORT_AND_LONG_TERM_DEBT","2016-06-30","2021-06-30","Per=Y","Days=T","Dir=V")</f>
        <v>0</v>
      </c>
      <c r="G2">
        <f>BDH("BRUN US Equity","BS_ST_BORROW","2016-06-30","2021-06-30","Per=Y","Days=T","Dir=V")</f>
        <v>0</v>
      </c>
      <c r="I2">
        <f>BDH("BRUN US Equity","BS_LT_BORROW","2016-06-30","2021-06-30","Per=Y","Days=T","Dir=V")</f>
        <v>0</v>
      </c>
      <c r="K2">
        <f>BDH("BRUN US Equity","BS_CASH_NEAR_CASH_ITEM","2016-06-30","2021-06-30","Per=Y","Days=T","Dir=V")</f>
        <v>0</v>
      </c>
      <c r="M2">
        <f>BDH("BRUN US Equity","BS_CUR_ASSET_REPORT","2016-06-30","2021-06-30","Per=Y","Days=T","Dir=V")</f>
        <v>0</v>
      </c>
      <c r="O2">
        <f>BDH("BRUN US Equity","BS_CUR_LIAB","2016-06-30","2021-06-30","Per=Y","Days=T","Dir=V")</f>
        <v>0</v>
      </c>
      <c r="Q2">
        <f>BDH("BRUN US Equity","BS_SHAREHOLDER_EQY_ENDING_PERIOD","2016-06-30","2021-06-30","Per=Y","Days=T","Dir=V")</f>
        <v>0</v>
      </c>
      <c r="S2">
        <f>BDH("BRUN US Equity","BS_ACCT_NOTE_RCV","2016-06-30","2021-06-30","Per=Y","Days=T","Dir=V")</f>
        <v>0</v>
      </c>
      <c r="U2">
        <f>BDH("BRUN US Equity","BS_INVENTORIES","2016-06-30","2021-06-30","Per=Y","Days=T","Dir=V")</f>
        <v>0</v>
      </c>
      <c r="W2">
        <f>BDH("BRUN US Equity","WORKING_CAPITAL","2016-06-30","2021-06-30","Per=Y","Days=T","Dir=V")</f>
        <v>0</v>
      </c>
      <c r="Y2">
        <f>BDH("BRUN US Equity","SALES_REV_TURN","2016-06-30","2021-06-30","Per=Y","Days=T","Dir=V")</f>
        <v>0</v>
      </c>
      <c r="AA2">
        <f>BDH("BRUN US Equity","EBIT","2016-06-30","2021-06-30","Per=Y","Days=T","Dir=V")</f>
        <v>0</v>
      </c>
      <c r="AC2">
        <f>BDH("BRUN US Equity","EBITDA","2016-06-30","2021-06-30","Per=Y","Days=T","Dir=V")</f>
        <v>0</v>
      </c>
      <c r="AE2">
        <f>BDH("BRUN US Equity","NET_INCOME","2016-06-30","2021-06-30","Per=Y","Days=T","Dir=V")</f>
        <v>0</v>
      </c>
      <c r="AG2">
        <f>BDH("BRUN US Equity","IS_INT_EXPENSE","2016-06-30","2021-06-30","Per=Y","Days=T","Dir=V")</f>
        <v>0</v>
      </c>
      <c r="AI2">
        <f>BDH("BRUN US Equity","IS_DEPR_EXP","2016-06-30","2021-06-30","Per=Y","Days=T","Dir=V")</f>
        <v>0</v>
      </c>
      <c r="AK2">
        <f>BDH("BRUN US Equity","CF_CASH_FROM_OPER","2016-06-30","2021-06-30","Per=Y","Days=T","Dir=V")</f>
        <v>0</v>
      </c>
      <c r="AM2">
        <f>BDH("BRUN US Equity","CAPITAL_EXPEND","2016-06-30","2021-06-30","Per=Y","Days=T","Dir=V")</f>
        <v>0</v>
      </c>
      <c r="AO2">
        <f>BDH("BRUN US Equity","CF_FREE_CASH_FLOW","2016-06-30","2021-06-30","Per=Y","Days=T","Dir=V")</f>
        <v>0</v>
      </c>
      <c r="AQ2">
        <f>BDH("BRUN US Equity","PX_LAST","2016-06-30","2021-06-30","Per=M","Days=T","Dir=V")</f>
        <v>0</v>
      </c>
      <c r="AS2">
        <f>BDH("BRUN US Equity","CUR_MKT_CAP","2016-06-30","2021-06-30","Per=M","Days=T","Dir=V")</f>
        <v>0</v>
      </c>
      <c r="AU2">
        <f>BDH("BRUN US Equity","EQY_SH_OUT","2016-06-30","2021-06-30","Per=M","Days=T","Dir=V")</f>
        <v>0</v>
      </c>
      <c r="AW2">
        <f>BDH("BRUN US Equity","BETA_RAW_OVERRIABLE","2016-06-30","2021-06-30","Per=M","Days=T","Dir=V")</f>
        <v>0</v>
      </c>
      <c r="AY2">
        <f>BDH("BRUN US Equity","PX_VOLUME","2016-06-30","2021-06-30","Per=M","Days=T","Dir=V")</f>
        <v>0</v>
      </c>
      <c r="BA2">
        <f>BDH("BRUN US Equity","TURNOVER","2016-06-30","2021-06-30","Per=M","Days=T","Dir=V")</f>
        <v>0</v>
      </c>
      <c r="BC2">
        <f>BDH("BRUN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BDH("GDRX US Equity","BS_TOT_ASSET","2016-06-30","2021-06-30","Per=Y","Days=T","Dir=V")</f>
        <v>0</v>
      </c>
      <c r="C2">
        <f>BDH("GDRX US Equity","BS_TOT_LIAB2","2016-06-30","2021-06-30","Per=Y","Days=T","Dir=V")</f>
        <v>0</v>
      </c>
      <c r="E2">
        <f>BDH("GDRX US Equity","SHORT_AND_LONG_TERM_DEBT","2016-06-30","2021-06-30","Per=Y","Days=T","Dir=V")</f>
        <v>0</v>
      </c>
      <c r="G2">
        <f>BDH("GDRX US Equity","BS_ST_BORROW","2016-06-30","2021-06-30","Per=Y","Days=T","Dir=V")</f>
        <v>0</v>
      </c>
      <c r="I2">
        <f>BDH("GDRX US Equity","BS_LT_BORROW","2016-06-30","2021-06-30","Per=Y","Days=T","Dir=V")</f>
        <v>0</v>
      </c>
      <c r="K2">
        <f>BDH("GDRX US Equity","BS_CASH_NEAR_CASH_ITEM","2016-06-30","2021-06-30","Per=Y","Days=T","Dir=V")</f>
        <v>0</v>
      </c>
      <c r="M2">
        <f>BDH("GDRX US Equity","BS_CUR_ASSET_REPORT","2016-06-30","2021-06-30","Per=Y","Days=T","Dir=V")</f>
        <v>0</v>
      </c>
      <c r="O2">
        <f>BDH("GDRX US Equity","BS_CUR_LIAB","2016-06-30","2021-06-30","Per=Y","Days=T","Dir=V")</f>
        <v>0</v>
      </c>
      <c r="Q2">
        <f>BDH("GDRX US Equity","BS_SHAREHOLDER_EQY_ENDING_PERIOD","2016-06-30","2021-06-30","Per=Y","Days=T","Dir=V")</f>
        <v>0</v>
      </c>
      <c r="S2">
        <f>BDH("GDRX US Equity","BS_ACCT_NOTE_RCV","2016-06-30","2021-06-30","Per=Y","Days=T","Dir=V")</f>
        <v>0</v>
      </c>
      <c r="U2">
        <f>BDH("GDRX US Equity","BS_INVENTORIES","2016-06-30","2021-06-30","Per=Y","Days=T","Dir=V")</f>
        <v>0</v>
      </c>
      <c r="W2">
        <f>BDH("GDRX US Equity","WORKING_CAPITAL","2016-06-30","2021-06-30","Per=Y","Days=T","Dir=V")</f>
        <v>0</v>
      </c>
      <c r="Y2">
        <f>BDH("GDRX US Equity","SALES_REV_TURN","2016-06-30","2021-06-30","Per=Y","Days=T","Dir=V")</f>
        <v>0</v>
      </c>
      <c r="AA2">
        <f>BDH("GDRX US Equity","EBIT","2016-06-30","2021-06-30","Per=Y","Days=T","Dir=V")</f>
        <v>0</v>
      </c>
      <c r="AC2">
        <f>BDH("GDRX US Equity","EBITDA","2016-06-30","2021-06-30","Per=Y","Days=T","Dir=V")</f>
        <v>0</v>
      </c>
      <c r="AE2">
        <f>BDH("GDRX US Equity","NET_INCOME","2016-06-30","2021-06-30","Per=Y","Days=T","Dir=V")</f>
        <v>0</v>
      </c>
      <c r="AG2">
        <f>BDH("GDRX US Equity","IS_INT_EXPENSE","2016-06-30","2021-06-30","Per=Y","Days=T","Dir=V")</f>
        <v>0</v>
      </c>
      <c r="AI2">
        <f>BDH("GDRX US Equity","IS_DEPR_EXP","2016-06-30","2021-06-30","Per=Y","Days=T","Dir=V")</f>
        <v>0</v>
      </c>
      <c r="AK2">
        <f>BDH("GDRX US Equity","CF_CASH_FROM_OPER","2016-06-30","2021-06-30","Per=Y","Days=T","Dir=V")</f>
        <v>0</v>
      </c>
      <c r="AM2">
        <f>BDH("GDRX US Equity","CAPITAL_EXPEND","2016-06-30","2021-06-30","Per=Y","Days=T","Dir=V")</f>
        <v>0</v>
      </c>
      <c r="AO2">
        <f>BDH("GDRX US Equity","CF_FREE_CASH_FLOW","2016-06-30","2021-06-30","Per=Y","Days=T","Dir=V")</f>
        <v>0</v>
      </c>
      <c r="AQ2">
        <f>BDH("GDRX US Equity","PX_LAST","2016-06-30","2021-06-30","Per=M","Days=T","Dir=V")</f>
        <v>0</v>
      </c>
      <c r="AS2">
        <f>BDH("GDRX US Equity","CUR_MKT_CAP","2016-06-30","2021-06-30","Per=M","Days=T","Dir=V")</f>
        <v>0</v>
      </c>
      <c r="AU2">
        <f>BDH("GDRX US Equity","EQY_SH_OUT","2016-06-30","2021-06-30","Per=M","Days=T","Dir=V")</f>
        <v>0</v>
      </c>
      <c r="AW2">
        <f>BDH("GDRX US Equity","BETA_RAW_OVERRIABLE","2016-06-30","2021-06-30","Per=M","Days=T","Dir=V")</f>
        <v>0</v>
      </c>
      <c r="AY2">
        <f>BDH("GDRX US Equity","PX_VOLUME","2016-06-30","2021-06-30","Per=M","Days=T","Dir=V")</f>
        <v>0</v>
      </c>
      <c r="BA2">
        <f>BDH("GDRX US Equity","TURNOVER","2016-06-30","2021-06-30","Per=M","Days=T","Dir=V")</f>
        <v>0</v>
      </c>
      <c r="BC2">
        <f>BDH("GDRX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BDH("HNGE US Equity","BS_TOT_ASSET","2016-06-30","2021-06-30","Per=Y","Days=T","Dir=V")</f>
        <v>0</v>
      </c>
      <c r="C2">
        <f>BDH("HNGE US Equity","BS_TOT_LIAB2","2016-06-30","2021-06-30","Per=Y","Days=T","Dir=V")</f>
        <v>0</v>
      </c>
      <c r="E2">
        <f>BDH("HNGE US Equity","SHORT_AND_LONG_TERM_DEBT","2016-06-30","2021-06-30","Per=Y","Days=T","Dir=V")</f>
        <v>0</v>
      </c>
      <c r="G2">
        <f>BDH("HNGE US Equity","BS_ST_BORROW","2016-06-30","2021-06-30","Per=Y","Days=T","Dir=V")</f>
        <v>0</v>
      </c>
      <c r="I2">
        <f>BDH("HNGE US Equity","BS_LT_BORROW","2016-06-30","2021-06-30","Per=Y","Days=T","Dir=V")</f>
        <v>0</v>
      </c>
      <c r="K2">
        <f>BDH("HNGE US Equity","BS_CASH_NEAR_CASH_ITEM","2016-06-30","2021-06-30","Per=Y","Days=T","Dir=V")</f>
        <v>0</v>
      </c>
      <c r="M2">
        <f>BDH("HNGE US Equity","BS_CUR_ASSET_REPORT","2016-06-30","2021-06-30","Per=Y","Days=T","Dir=V")</f>
        <v>0</v>
      </c>
      <c r="O2">
        <f>BDH("HNGE US Equity","BS_CUR_LIAB","2016-06-30","2021-06-30","Per=Y","Days=T","Dir=V")</f>
        <v>0</v>
      </c>
      <c r="Q2">
        <f>BDH("HNGE US Equity","BS_SHAREHOLDER_EQY_ENDING_PERIOD","2016-06-30","2021-06-30","Per=Y","Days=T","Dir=V")</f>
        <v>0</v>
      </c>
      <c r="S2">
        <f>BDH("HNGE US Equity","BS_ACCT_NOTE_RCV","2016-06-30","2021-06-30","Per=Y","Days=T","Dir=V")</f>
        <v>0</v>
      </c>
      <c r="U2">
        <f>BDH("HNGE US Equity","BS_INVENTORIES","2016-06-30","2021-06-30","Per=Y","Days=T","Dir=V")</f>
        <v>0</v>
      </c>
      <c r="W2">
        <f>BDH("HNGE US Equity","WORKING_CAPITAL","2016-06-30","2021-06-30","Per=Y","Days=T","Dir=V")</f>
        <v>0</v>
      </c>
      <c r="Y2">
        <f>BDH("HNGE US Equity","SALES_REV_TURN","2016-06-30","2021-06-30","Per=Y","Days=T","Dir=V")</f>
        <v>0</v>
      </c>
      <c r="AA2">
        <f>BDH("HNGE US Equity","EBIT","2016-06-30","2021-06-30","Per=Y","Days=T","Dir=V")</f>
        <v>0</v>
      </c>
      <c r="AC2">
        <f>BDH("HNGE US Equity","EBITDA","2016-06-30","2021-06-30","Per=Y","Days=T","Dir=V")</f>
        <v>0</v>
      </c>
      <c r="AE2">
        <f>BDH("HNGE US Equity","NET_INCOME","2016-06-30","2021-06-30","Per=Y","Days=T","Dir=V")</f>
        <v>0</v>
      </c>
      <c r="AG2">
        <f>BDH("HNGE US Equity","IS_INT_EXPENSE","2016-06-30","2021-06-30","Per=Y","Days=T","Dir=V")</f>
        <v>0</v>
      </c>
      <c r="AI2">
        <f>BDH("HNGE US Equity","IS_DEPR_EXP","2016-06-30","2021-06-30","Per=Y","Days=T","Dir=V")</f>
        <v>0</v>
      </c>
      <c r="AK2">
        <f>BDH("HNGE US Equity","CF_CASH_FROM_OPER","2016-06-30","2021-06-30","Per=Y","Days=T","Dir=V")</f>
        <v>0</v>
      </c>
      <c r="AM2">
        <f>BDH("HNGE US Equity","CAPITAL_EXPEND","2016-06-30","2021-06-30","Per=Y","Days=T","Dir=V")</f>
        <v>0</v>
      </c>
      <c r="AO2">
        <f>BDH("HNGE US Equity","CF_FREE_CASH_FLOW","2016-06-30","2021-06-30","Per=Y","Days=T","Dir=V")</f>
        <v>0</v>
      </c>
      <c r="AQ2">
        <f>BDH("HNGE US Equity","PX_LAST","2016-06-30","2021-06-30","Per=M","Days=T","Dir=V")</f>
        <v>0</v>
      </c>
      <c r="AS2">
        <f>BDH("HNGE US Equity","CUR_MKT_CAP","2016-06-30","2021-06-30","Per=M","Days=T","Dir=V")</f>
        <v>0</v>
      </c>
      <c r="AU2">
        <f>BDH("HNGE US Equity","EQY_SH_OUT","2016-06-30","2021-06-30","Per=M","Days=T","Dir=V")</f>
        <v>0</v>
      </c>
      <c r="AW2">
        <f>BDH("HNGE US Equity","BETA_RAW_OVERRIABLE","2016-06-30","2021-06-30","Per=M","Days=T","Dir=V")</f>
        <v>0</v>
      </c>
      <c r="AY2">
        <f>BDH("HNGE US Equity","PX_VOLUME","2016-06-30","2021-06-30","Per=M","Days=T","Dir=V")</f>
        <v>0</v>
      </c>
      <c r="BA2">
        <f>BDH("HNGE US Equity","TURNOVER","2016-06-30","2021-06-30","Per=M","Days=T","Dir=V")</f>
        <v>0</v>
      </c>
      <c r="BC2">
        <f>BDH("HNGE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BDH("PAYS US Equity","BS_TOT_ASSET","2016-06-30","2021-06-30","Per=Y","Days=T","Dir=V")</f>
        <v>0</v>
      </c>
      <c r="C2">
        <f>BDH("PAYS US Equity","BS_TOT_LIAB2","2016-06-30","2021-06-30","Per=Y","Days=T","Dir=V")</f>
        <v>0</v>
      </c>
      <c r="E2">
        <f>BDH("PAYS US Equity","SHORT_AND_LONG_TERM_DEBT","2016-06-30","2021-06-30","Per=Y","Days=T","Dir=V")</f>
        <v>0</v>
      </c>
      <c r="G2">
        <f>BDH("PAYS US Equity","BS_ST_BORROW","2016-06-30","2021-06-30","Per=Y","Days=T","Dir=V")</f>
        <v>0</v>
      </c>
      <c r="I2">
        <f>BDH("PAYS US Equity","BS_LT_BORROW","2016-06-30","2021-06-30","Per=Y","Days=T","Dir=V")</f>
        <v>0</v>
      </c>
      <c r="K2">
        <f>BDH("PAYS US Equity","BS_CASH_NEAR_CASH_ITEM","2016-06-30","2021-06-30","Per=Y","Days=T","Dir=V")</f>
        <v>0</v>
      </c>
      <c r="M2">
        <f>BDH("PAYS US Equity","BS_CUR_ASSET_REPORT","2016-06-30","2021-06-30","Per=Y","Days=T","Dir=V")</f>
        <v>0</v>
      </c>
      <c r="O2">
        <f>BDH("PAYS US Equity","BS_CUR_LIAB","2016-06-30","2021-06-30","Per=Y","Days=T","Dir=V")</f>
        <v>0</v>
      </c>
      <c r="Q2">
        <f>BDH("PAYS US Equity","BS_SHAREHOLDER_EQY_ENDING_PERIOD","2016-06-30","2021-06-30","Per=Y","Days=T","Dir=V")</f>
        <v>0</v>
      </c>
      <c r="S2">
        <f>BDH("PAYS US Equity","BS_ACCT_NOTE_RCV","2016-06-30","2021-06-30","Per=Y","Days=T","Dir=V")</f>
        <v>0</v>
      </c>
      <c r="U2">
        <f>BDH("PAYS US Equity","BS_INVENTORIES","2016-06-30","2021-06-30","Per=Y","Days=T","Dir=V")</f>
        <v>0</v>
      </c>
      <c r="W2">
        <f>BDH("PAYS US Equity","WORKING_CAPITAL","2016-06-30","2021-06-30","Per=Y","Days=T","Dir=V")</f>
        <v>0</v>
      </c>
      <c r="Y2">
        <f>BDH("PAYS US Equity","SALES_REV_TURN","2016-06-30","2021-06-30","Per=Y","Days=T","Dir=V")</f>
        <v>0</v>
      </c>
      <c r="AA2">
        <f>BDH("PAYS US Equity","EBIT","2016-06-30","2021-06-30","Per=Y","Days=T","Dir=V")</f>
        <v>0</v>
      </c>
      <c r="AC2">
        <f>BDH("PAYS US Equity","EBITDA","2016-06-30","2021-06-30","Per=Y","Days=T","Dir=V")</f>
        <v>0</v>
      </c>
      <c r="AE2">
        <f>BDH("PAYS US Equity","NET_INCOME","2016-06-30","2021-06-30","Per=Y","Days=T","Dir=V")</f>
        <v>0</v>
      </c>
      <c r="AG2">
        <f>BDH("PAYS US Equity","IS_INT_EXPENSE","2016-06-30","2021-06-30","Per=Y","Days=T","Dir=V")</f>
        <v>0</v>
      </c>
      <c r="AI2">
        <f>BDH("PAYS US Equity","IS_DEPR_EXP","2016-06-30","2021-06-30","Per=Y","Days=T","Dir=V")</f>
        <v>0</v>
      </c>
      <c r="AK2">
        <f>BDH("PAYS US Equity","CF_CASH_FROM_OPER","2016-06-30","2021-06-30","Per=Y","Days=T","Dir=V")</f>
        <v>0</v>
      </c>
      <c r="AM2">
        <f>BDH("PAYS US Equity","CAPITAL_EXPEND","2016-06-30","2021-06-30","Per=Y","Days=T","Dir=V")</f>
        <v>0</v>
      </c>
      <c r="AO2">
        <f>BDH("PAYS US Equity","CF_FREE_CASH_FLOW","2016-06-30","2021-06-30","Per=Y","Days=T","Dir=V")</f>
        <v>0</v>
      </c>
      <c r="AQ2">
        <f>BDH("PAYS US Equity","PX_LAST","2016-06-30","2021-06-30","Per=M","Days=T","Dir=V")</f>
        <v>0</v>
      </c>
      <c r="AS2">
        <f>BDH("PAYS US Equity","CUR_MKT_CAP","2016-06-30","2021-06-30","Per=M","Days=T","Dir=V")</f>
        <v>0</v>
      </c>
      <c r="AU2">
        <f>BDH("PAYS US Equity","EQY_SH_OUT","2016-06-30","2021-06-30","Per=M","Days=T","Dir=V")</f>
        <v>0</v>
      </c>
      <c r="AW2">
        <f>BDH("PAYS US Equity","BETA_RAW_OVERRIABLE","2016-06-30","2021-06-30","Per=M","Days=T","Dir=V")</f>
        <v>0</v>
      </c>
      <c r="AY2">
        <f>BDH("PAYS US Equity","PX_VOLUME","2016-06-30","2021-06-30","Per=M","Days=T","Dir=V")</f>
        <v>0</v>
      </c>
      <c r="BA2">
        <f>BDH("PAYS US Equity","TURNOVER","2016-06-30","2021-06-30","Per=M","Days=T","Dir=V")</f>
        <v>0</v>
      </c>
      <c r="BC2">
        <f>BDH("PAYS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BDH("PEGA US Equity","BS_TOT_ASSET","2016-06-30","2021-06-30","Per=Y","Days=T","Dir=V")</f>
        <v>0</v>
      </c>
      <c r="C2">
        <f>BDH("PEGA US Equity","BS_TOT_LIAB2","2016-06-30","2021-06-30","Per=Y","Days=T","Dir=V")</f>
        <v>0</v>
      </c>
      <c r="E2">
        <f>BDH("PEGA US Equity","SHORT_AND_LONG_TERM_DEBT","2016-06-30","2021-06-30","Per=Y","Days=T","Dir=V")</f>
        <v>0</v>
      </c>
      <c r="G2">
        <f>BDH("PEGA US Equity","BS_ST_BORROW","2016-06-30","2021-06-30","Per=Y","Days=T","Dir=V")</f>
        <v>0</v>
      </c>
      <c r="I2">
        <f>BDH("PEGA US Equity","BS_LT_BORROW","2016-06-30","2021-06-30","Per=Y","Days=T","Dir=V")</f>
        <v>0</v>
      </c>
      <c r="K2">
        <f>BDH("PEGA US Equity","BS_CASH_NEAR_CASH_ITEM","2016-06-30","2021-06-30","Per=Y","Days=T","Dir=V")</f>
        <v>0</v>
      </c>
      <c r="M2">
        <f>BDH("PEGA US Equity","BS_CUR_ASSET_REPORT","2016-06-30","2021-06-30","Per=Y","Days=T","Dir=V")</f>
        <v>0</v>
      </c>
      <c r="O2">
        <f>BDH("PEGA US Equity","BS_CUR_LIAB","2016-06-30","2021-06-30","Per=Y","Days=T","Dir=V")</f>
        <v>0</v>
      </c>
      <c r="Q2">
        <f>BDH("PEGA US Equity","BS_SHAREHOLDER_EQY_ENDING_PERIOD","2016-06-30","2021-06-30","Per=Y","Days=T","Dir=V")</f>
        <v>0</v>
      </c>
      <c r="S2">
        <f>BDH("PEGA US Equity","BS_ACCT_NOTE_RCV","2016-06-30","2021-06-30","Per=Y","Days=T","Dir=V")</f>
        <v>0</v>
      </c>
      <c r="U2">
        <f>BDH("PEGA US Equity","BS_INVENTORIES","2016-06-30","2021-06-30","Per=Y","Days=T","Dir=V")</f>
        <v>0</v>
      </c>
      <c r="W2">
        <f>BDH("PEGA US Equity","WORKING_CAPITAL","2016-06-30","2021-06-30","Per=Y","Days=T","Dir=V")</f>
        <v>0</v>
      </c>
      <c r="Y2">
        <f>BDH("PEGA US Equity","SALES_REV_TURN","2016-06-30","2021-06-30","Per=Y","Days=T","Dir=V")</f>
        <v>0</v>
      </c>
      <c r="AA2">
        <f>BDH("PEGA US Equity","EBIT","2016-06-30","2021-06-30","Per=Y","Days=T","Dir=V")</f>
        <v>0</v>
      </c>
      <c r="AC2">
        <f>BDH("PEGA US Equity","EBITDA","2016-06-30","2021-06-30","Per=Y","Days=T","Dir=V")</f>
        <v>0</v>
      </c>
      <c r="AE2">
        <f>BDH("PEGA US Equity","NET_INCOME","2016-06-30","2021-06-30","Per=Y","Days=T","Dir=V")</f>
        <v>0</v>
      </c>
      <c r="AG2">
        <f>BDH("PEGA US Equity","IS_INT_EXPENSE","2016-06-30","2021-06-30","Per=Y","Days=T","Dir=V")</f>
        <v>0</v>
      </c>
      <c r="AI2">
        <f>BDH("PEGA US Equity","IS_DEPR_EXP","2016-06-30","2021-06-30","Per=Y","Days=T","Dir=V")</f>
        <v>0</v>
      </c>
      <c r="AK2">
        <f>BDH("PEGA US Equity","CF_CASH_FROM_OPER","2016-06-30","2021-06-30","Per=Y","Days=T","Dir=V")</f>
        <v>0</v>
      </c>
      <c r="AM2">
        <f>BDH("PEGA US Equity","CAPITAL_EXPEND","2016-06-30","2021-06-30","Per=Y","Days=T","Dir=V")</f>
        <v>0</v>
      </c>
      <c r="AO2">
        <f>BDH("PEGA US Equity","CF_FREE_CASH_FLOW","2016-06-30","2021-06-30","Per=Y","Days=T","Dir=V")</f>
        <v>0</v>
      </c>
      <c r="AQ2">
        <f>BDH("PEGA US Equity","PX_LAST","2016-06-30","2021-06-30","Per=M","Days=T","Dir=V")</f>
        <v>0</v>
      </c>
      <c r="AS2">
        <f>BDH("PEGA US Equity","CUR_MKT_CAP","2016-06-30","2021-06-30","Per=M","Days=T","Dir=V")</f>
        <v>0</v>
      </c>
      <c r="AU2">
        <f>BDH("PEGA US Equity","EQY_SH_OUT","2016-06-30","2021-06-30","Per=M","Days=T","Dir=V")</f>
        <v>0</v>
      </c>
      <c r="AW2">
        <f>BDH("PEGA US Equity","BETA_RAW_OVERRIABLE","2016-06-30","2021-06-30","Per=M","Days=T","Dir=V")</f>
        <v>0</v>
      </c>
      <c r="AY2">
        <f>BDH("PEGA US Equity","PX_VOLUME","2016-06-30","2021-06-30","Per=M","Days=T","Dir=V")</f>
        <v>0</v>
      </c>
      <c r="BA2">
        <f>BDH("PEGA US Equity","TURNOVER","2016-06-30","2021-06-30","Per=M","Days=T","Dir=V")</f>
        <v>0</v>
      </c>
      <c r="BC2">
        <f>BDH("PEGA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BDH("RGTIW US Equity","BS_TOT_ASSET","2016-06-30","2021-06-30","Per=Y","Days=T","Dir=V")</f>
        <v>0</v>
      </c>
      <c r="C2">
        <f>BDH("RGTIW US Equity","BS_TOT_LIAB2","2016-06-30","2021-06-30","Per=Y","Days=T","Dir=V")</f>
        <v>0</v>
      </c>
      <c r="E2">
        <f>BDH("RGTIW US Equity","SHORT_AND_LONG_TERM_DEBT","2016-06-30","2021-06-30","Per=Y","Days=T","Dir=V")</f>
        <v>0</v>
      </c>
      <c r="G2">
        <f>BDH("RGTIW US Equity","BS_ST_BORROW","2016-06-30","2021-06-30","Per=Y","Days=T","Dir=V")</f>
        <v>0</v>
      </c>
      <c r="I2">
        <f>BDH("RGTIW US Equity","BS_LT_BORROW","2016-06-30","2021-06-30","Per=Y","Days=T","Dir=V")</f>
        <v>0</v>
      </c>
      <c r="K2">
        <f>BDH("RGTIW US Equity","BS_CASH_NEAR_CASH_ITEM","2016-06-30","2021-06-30","Per=Y","Days=T","Dir=V")</f>
        <v>0</v>
      </c>
      <c r="M2">
        <f>BDH("RGTIW US Equity","BS_CUR_ASSET_REPORT","2016-06-30","2021-06-30","Per=Y","Days=T","Dir=V")</f>
        <v>0</v>
      </c>
      <c r="O2">
        <f>BDH("RGTIW US Equity","BS_CUR_LIAB","2016-06-30","2021-06-30","Per=Y","Days=T","Dir=V")</f>
        <v>0</v>
      </c>
      <c r="Q2">
        <f>BDH("RGTIW US Equity","BS_SHAREHOLDER_EQY_ENDING_PERIOD","2016-06-30","2021-06-30","Per=Y","Days=T","Dir=V")</f>
        <v>0</v>
      </c>
      <c r="S2">
        <f>BDH("RGTIW US Equity","BS_ACCT_NOTE_RCV","2016-06-30","2021-06-30","Per=Y","Days=T","Dir=V")</f>
        <v>0</v>
      </c>
      <c r="U2">
        <f>BDH("RGTIW US Equity","BS_INVENTORIES","2016-06-30","2021-06-30","Per=Y","Days=T","Dir=V")</f>
        <v>0</v>
      </c>
      <c r="W2">
        <f>BDH("RGTIW US Equity","WORKING_CAPITAL","2016-06-30","2021-06-30","Per=Y","Days=T","Dir=V")</f>
        <v>0</v>
      </c>
      <c r="Y2">
        <f>BDH("RGTIW US Equity","SALES_REV_TURN","2016-06-30","2021-06-30","Per=Y","Days=T","Dir=V")</f>
        <v>0</v>
      </c>
      <c r="AA2">
        <f>BDH("RGTIW US Equity","EBIT","2016-06-30","2021-06-30","Per=Y","Days=T","Dir=V")</f>
        <v>0</v>
      </c>
      <c r="AC2">
        <f>BDH("RGTIW US Equity","EBITDA","2016-06-30","2021-06-30","Per=Y","Days=T","Dir=V")</f>
        <v>0</v>
      </c>
      <c r="AE2">
        <f>BDH("RGTIW US Equity","NET_INCOME","2016-06-30","2021-06-30","Per=Y","Days=T","Dir=V")</f>
        <v>0</v>
      </c>
      <c r="AG2">
        <f>BDH("RGTIW US Equity","IS_INT_EXPENSE","2016-06-30","2021-06-30","Per=Y","Days=T","Dir=V")</f>
        <v>0</v>
      </c>
      <c r="AI2">
        <f>BDH("RGTIW US Equity","IS_DEPR_EXP","2016-06-30","2021-06-30","Per=Y","Days=T","Dir=V")</f>
        <v>0</v>
      </c>
      <c r="AK2">
        <f>BDH("RGTIW US Equity","CF_CASH_FROM_OPER","2016-06-30","2021-06-30","Per=Y","Days=T","Dir=V")</f>
        <v>0</v>
      </c>
      <c r="AM2">
        <f>BDH("RGTIW US Equity","CAPITAL_EXPEND","2016-06-30","2021-06-30","Per=Y","Days=T","Dir=V")</f>
        <v>0</v>
      </c>
      <c r="AO2">
        <f>BDH("RGTIW US Equity","CF_FREE_CASH_FLOW","2016-06-30","2021-06-30","Per=Y","Days=T","Dir=V")</f>
        <v>0</v>
      </c>
      <c r="AQ2">
        <f>BDH("RGTIW US Equity","PX_LAST","2016-06-30","2021-06-30","Per=M","Days=T","Dir=V")</f>
        <v>0</v>
      </c>
      <c r="AS2">
        <f>BDH("RGTIW US Equity","CUR_MKT_CAP","2016-06-30","2021-06-30","Per=M","Days=T","Dir=V")</f>
        <v>0</v>
      </c>
      <c r="AU2">
        <f>BDH("RGTIW US Equity","EQY_SH_OUT","2016-06-30","2021-06-30","Per=M","Days=T","Dir=V")</f>
        <v>0</v>
      </c>
      <c r="AW2">
        <f>BDH("RGTIW US Equity","BETA_RAW_OVERRIABLE","2016-06-30","2021-06-30","Per=M","Days=T","Dir=V")</f>
        <v>0</v>
      </c>
      <c r="AY2">
        <f>BDH("RGTIW US Equity","PX_VOLUME","2016-06-30","2021-06-30","Per=M","Days=T","Dir=V")</f>
        <v>0</v>
      </c>
      <c r="BA2">
        <f>BDH("RGTIW US Equity","TURNOVER","2016-06-30","2021-06-30","Per=M","Days=T","Dir=V")</f>
        <v>0</v>
      </c>
      <c r="BC2">
        <f>BDH("RGTIW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BDH("APH US Equity","BS_TOT_ASSET","2016-06-30","2021-06-30","Per=Y","Days=T","Dir=V")</f>
        <v>0</v>
      </c>
      <c r="C2">
        <f>BDH("APH US Equity","BS_TOT_LIAB2","2016-06-30","2021-06-30","Per=Y","Days=T","Dir=V")</f>
        <v>0</v>
      </c>
      <c r="E2">
        <f>BDH("APH US Equity","SHORT_AND_LONG_TERM_DEBT","2016-06-30","2021-06-30","Per=Y","Days=T","Dir=V")</f>
        <v>0</v>
      </c>
      <c r="G2">
        <f>BDH("APH US Equity","BS_ST_BORROW","2016-06-30","2021-06-30","Per=Y","Days=T","Dir=V")</f>
        <v>0</v>
      </c>
      <c r="I2">
        <f>BDH("APH US Equity","BS_LT_BORROW","2016-06-30","2021-06-30","Per=Y","Days=T","Dir=V")</f>
        <v>0</v>
      </c>
      <c r="K2">
        <f>BDH("APH US Equity","BS_CASH_NEAR_CASH_ITEM","2016-06-30","2021-06-30","Per=Y","Days=T","Dir=V")</f>
        <v>0</v>
      </c>
      <c r="M2">
        <f>BDH("APH US Equity","BS_CUR_ASSET_REPORT","2016-06-30","2021-06-30","Per=Y","Days=T","Dir=V")</f>
        <v>0</v>
      </c>
      <c r="O2">
        <f>BDH("APH US Equity","BS_CUR_LIAB","2016-06-30","2021-06-30","Per=Y","Days=T","Dir=V")</f>
        <v>0</v>
      </c>
      <c r="Q2">
        <f>BDH("APH US Equity","BS_SHAREHOLDER_EQY_ENDING_PERIOD","2016-06-30","2021-06-30","Per=Y","Days=T","Dir=V")</f>
        <v>0</v>
      </c>
      <c r="S2">
        <f>BDH("APH US Equity","BS_ACCT_NOTE_RCV","2016-06-30","2021-06-30","Per=Y","Days=T","Dir=V")</f>
        <v>0</v>
      </c>
      <c r="U2">
        <f>BDH("APH US Equity","BS_INVENTORIES","2016-06-30","2021-06-30","Per=Y","Days=T","Dir=V")</f>
        <v>0</v>
      </c>
      <c r="W2">
        <f>BDH("APH US Equity","WORKING_CAPITAL","2016-06-30","2021-06-30","Per=Y","Days=T","Dir=V")</f>
        <v>0</v>
      </c>
      <c r="Y2">
        <f>BDH("APH US Equity","SALES_REV_TURN","2016-06-30","2021-06-30","Per=Y","Days=T","Dir=V")</f>
        <v>0</v>
      </c>
      <c r="AA2">
        <f>BDH("APH US Equity","EBIT","2016-06-30","2021-06-30","Per=Y","Days=T","Dir=V")</f>
        <v>0</v>
      </c>
      <c r="AC2">
        <f>BDH("APH US Equity","EBITDA","2016-06-30","2021-06-30","Per=Y","Days=T","Dir=V")</f>
        <v>0</v>
      </c>
      <c r="AE2">
        <f>BDH("APH US Equity","NET_INCOME","2016-06-30","2021-06-30","Per=Y","Days=T","Dir=V")</f>
        <v>0</v>
      </c>
      <c r="AG2">
        <f>BDH("APH US Equity","IS_INT_EXPENSE","2016-06-30","2021-06-30","Per=Y","Days=T","Dir=V")</f>
        <v>0</v>
      </c>
      <c r="AI2">
        <f>BDH("APH US Equity","IS_DEPR_EXP","2016-06-30","2021-06-30","Per=Y","Days=T","Dir=V")</f>
        <v>0</v>
      </c>
      <c r="AK2">
        <f>BDH("APH US Equity","CF_CASH_FROM_OPER","2016-06-30","2021-06-30","Per=Y","Days=T","Dir=V")</f>
        <v>0</v>
      </c>
      <c r="AM2">
        <f>BDH("APH US Equity","CAPITAL_EXPEND","2016-06-30","2021-06-30","Per=Y","Days=T","Dir=V")</f>
        <v>0</v>
      </c>
      <c r="AO2">
        <f>BDH("APH US Equity","CF_FREE_CASH_FLOW","2016-06-30","2021-06-30","Per=Y","Days=T","Dir=V")</f>
        <v>0</v>
      </c>
      <c r="AQ2">
        <f>BDH("APH US Equity","PX_LAST","2016-06-30","2021-06-30","Per=M","Days=T","Dir=V")</f>
        <v>0</v>
      </c>
      <c r="AS2">
        <f>BDH("APH US Equity","CUR_MKT_CAP","2016-06-30","2021-06-30","Per=M","Days=T","Dir=V")</f>
        <v>0</v>
      </c>
      <c r="AU2">
        <f>BDH("APH US Equity","EQY_SH_OUT","2016-06-30","2021-06-30","Per=M","Days=T","Dir=V")</f>
        <v>0</v>
      </c>
      <c r="AW2">
        <f>BDH("APH US Equity","BETA_RAW_OVERRIABLE","2016-06-30","2021-06-30","Per=M","Days=T","Dir=V")</f>
        <v>0</v>
      </c>
      <c r="AY2">
        <f>BDH("APH US Equity","PX_VOLUME","2016-06-30","2021-06-30","Per=M","Days=T","Dir=V")</f>
        <v>0</v>
      </c>
      <c r="BA2">
        <f>BDH("APH US Equity","TURNOVER","2016-06-30","2021-06-30","Per=M","Days=T","Dir=V")</f>
        <v>0</v>
      </c>
      <c r="BC2">
        <f>BDH("APH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BDH("ARW US Equity","BS_TOT_ASSET","2016-06-30","2021-06-30","Per=Y","Days=T","Dir=V")</f>
        <v>0</v>
      </c>
      <c r="C2">
        <f>BDH("ARW US Equity","BS_TOT_LIAB2","2016-06-30","2021-06-30","Per=Y","Days=T","Dir=V")</f>
        <v>0</v>
      </c>
      <c r="E2">
        <f>BDH("ARW US Equity","SHORT_AND_LONG_TERM_DEBT","2016-06-30","2021-06-30","Per=Y","Days=T","Dir=V")</f>
        <v>0</v>
      </c>
      <c r="G2">
        <f>BDH("ARW US Equity","BS_ST_BORROW","2016-06-30","2021-06-30","Per=Y","Days=T","Dir=V")</f>
        <v>0</v>
      </c>
      <c r="I2">
        <f>BDH("ARW US Equity","BS_LT_BORROW","2016-06-30","2021-06-30","Per=Y","Days=T","Dir=V")</f>
        <v>0</v>
      </c>
      <c r="K2">
        <f>BDH("ARW US Equity","BS_CASH_NEAR_CASH_ITEM","2016-06-30","2021-06-30","Per=Y","Days=T","Dir=V")</f>
        <v>0</v>
      </c>
      <c r="M2">
        <f>BDH("ARW US Equity","BS_CUR_ASSET_REPORT","2016-06-30","2021-06-30","Per=Y","Days=T","Dir=V")</f>
        <v>0</v>
      </c>
      <c r="O2">
        <f>BDH("ARW US Equity","BS_CUR_LIAB","2016-06-30","2021-06-30","Per=Y","Days=T","Dir=V")</f>
        <v>0</v>
      </c>
      <c r="Q2">
        <f>BDH("ARW US Equity","BS_SHAREHOLDER_EQY_ENDING_PERIOD","2016-06-30","2021-06-30","Per=Y","Days=T","Dir=V")</f>
        <v>0</v>
      </c>
      <c r="S2">
        <f>BDH("ARW US Equity","BS_ACCT_NOTE_RCV","2016-06-30","2021-06-30","Per=Y","Days=T","Dir=V")</f>
        <v>0</v>
      </c>
      <c r="U2">
        <f>BDH("ARW US Equity","BS_INVENTORIES","2016-06-30","2021-06-30","Per=Y","Days=T","Dir=V")</f>
        <v>0</v>
      </c>
      <c r="W2">
        <f>BDH("ARW US Equity","WORKING_CAPITAL","2016-06-30","2021-06-30","Per=Y","Days=T","Dir=V")</f>
        <v>0</v>
      </c>
      <c r="Y2">
        <f>BDH("ARW US Equity","SALES_REV_TURN","2016-06-30","2021-06-30","Per=Y","Days=T","Dir=V")</f>
        <v>0</v>
      </c>
      <c r="AA2">
        <f>BDH("ARW US Equity","EBIT","2016-06-30","2021-06-30","Per=Y","Days=T","Dir=V")</f>
        <v>0</v>
      </c>
      <c r="AC2">
        <f>BDH("ARW US Equity","EBITDA","2016-06-30","2021-06-30","Per=Y","Days=T","Dir=V")</f>
        <v>0</v>
      </c>
      <c r="AE2">
        <f>BDH("ARW US Equity","NET_INCOME","2016-06-30","2021-06-30","Per=Y","Days=T","Dir=V")</f>
        <v>0</v>
      </c>
      <c r="AG2">
        <f>BDH("ARW US Equity","IS_INT_EXPENSE","2016-06-30","2021-06-30","Per=Y","Days=T","Dir=V")</f>
        <v>0</v>
      </c>
      <c r="AI2">
        <f>BDH("ARW US Equity","IS_DEPR_EXP","2016-06-30","2021-06-30","Per=Y","Days=T","Dir=V")</f>
        <v>0</v>
      </c>
      <c r="AK2">
        <f>BDH("ARW US Equity","CF_CASH_FROM_OPER","2016-06-30","2021-06-30","Per=Y","Days=T","Dir=V")</f>
        <v>0</v>
      </c>
      <c r="AM2">
        <f>BDH("ARW US Equity","CAPITAL_EXPEND","2016-06-30","2021-06-30","Per=Y","Days=T","Dir=V")</f>
        <v>0</v>
      </c>
      <c r="AO2">
        <f>BDH("ARW US Equity","CF_FREE_CASH_FLOW","2016-06-30","2021-06-30","Per=Y","Days=T","Dir=V")</f>
        <v>0</v>
      </c>
      <c r="AQ2">
        <f>BDH("ARW US Equity","PX_LAST","2016-06-30","2021-06-30","Per=M","Days=T","Dir=V")</f>
        <v>0</v>
      </c>
      <c r="AS2">
        <f>BDH("ARW US Equity","CUR_MKT_CAP","2016-06-30","2021-06-30","Per=M","Days=T","Dir=V")</f>
        <v>0</v>
      </c>
      <c r="AU2">
        <f>BDH("ARW US Equity","EQY_SH_OUT","2016-06-30","2021-06-30","Per=M","Days=T","Dir=V")</f>
        <v>0</v>
      </c>
      <c r="AW2">
        <f>BDH("ARW US Equity","BETA_RAW_OVERRIABLE","2016-06-30","2021-06-30","Per=M","Days=T","Dir=V")</f>
        <v>0</v>
      </c>
      <c r="AY2">
        <f>BDH("ARW US Equity","PX_VOLUME","2016-06-30","2021-06-30","Per=M","Days=T","Dir=V")</f>
        <v>0</v>
      </c>
      <c r="BA2">
        <f>BDH("ARW US Equity","TURNOVER","2016-06-30","2021-06-30","Per=M","Days=T","Dir=V")</f>
        <v>0</v>
      </c>
      <c r="BC2">
        <f>BDH("ARW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BDH("EPAC US Equity","BS_TOT_ASSET","2016-06-30","2021-06-30","Per=Y","Days=T","Dir=V")</f>
        <v>0</v>
      </c>
      <c r="C2">
        <f>BDH("EPAC US Equity","BS_TOT_LIAB2","2016-06-30","2021-06-30","Per=Y","Days=T","Dir=V")</f>
        <v>0</v>
      </c>
      <c r="E2">
        <f>BDH("EPAC US Equity","SHORT_AND_LONG_TERM_DEBT","2016-06-30","2021-06-30","Per=Y","Days=T","Dir=V")</f>
        <v>0</v>
      </c>
      <c r="G2">
        <f>BDH("EPAC US Equity","BS_ST_BORROW","2016-06-30","2021-06-30","Per=Y","Days=T","Dir=V")</f>
        <v>0</v>
      </c>
      <c r="I2">
        <f>BDH("EPAC US Equity","BS_LT_BORROW","2016-06-30","2021-06-30","Per=Y","Days=T","Dir=V")</f>
        <v>0</v>
      </c>
      <c r="K2">
        <f>BDH("EPAC US Equity","BS_CASH_NEAR_CASH_ITEM","2016-06-30","2021-06-30","Per=Y","Days=T","Dir=V")</f>
        <v>0</v>
      </c>
      <c r="M2">
        <f>BDH("EPAC US Equity","BS_CUR_ASSET_REPORT","2016-06-30","2021-06-30","Per=Y","Days=T","Dir=V")</f>
        <v>0</v>
      </c>
      <c r="O2">
        <f>BDH("EPAC US Equity","BS_CUR_LIAB","2016-06-30","2021-06-30","Per=Y","Days=T","Dir=V")</f>
        <v>0</v>
      </c>
      <c r="Q2">
        <f>BDH("EPAC US Equity","BS_SHAREHOLDER_EQY_ENDING_PERIOD","2016-06-30","2021-06-30","Per=Y","Days=T","Dir=V")</f>
        <v>0</v>
      </c>
      <c r="S2">
        <f>BDH("EPAC US Equity","BS_ACCT_NOTE_RCV","2016-06-30","2021-06-30","Per=Y","Days=T","Dir=V")</f>
        <v>0</v>
      </c>
      <c r="U2">
        <f>BDH("EPAC US Equity","BS_INVENTORIES","2016-06-30","2021-06-30","Per=Y","Days=T","Dir=V")</f>
        <v>0</v>
      </c>
      <c r="W2">
        <f>BDH("EPAC US Equity","WORKING_CAPITAL","2016-06-30","2021-06-30","Per=Y","Days=T","Dir=V")</f>
        <v>0</v>
      </c>
      <c r="Y2">
        <f>BDH("EPAC US Equity","SALES_REV_TURN","2016-06-30","2021-06-30","Per=Y","Days=T","Dir=V")</f>
        <v>0</v>
      </c>
      <c r="AA2">
        <f>BDH("EPAC US Equity","EBIT","2016-06-30","2021-06-30","Per=Y","Days=T","Dir=V")</f>
        <v>0</v>
      </c>
      <c r="AC2">
        <f>BDH("EPAC US Equity","EBITDA","2016-06-30","2021-06-30","Per=Y","Days=T","Dir=V")</f>
        <v>0</v>
      </c>
      <c r="AE2">
        <f>BDH("EPAC US Equity","NET_INCOME","2016-06-30","2021-06-30","Per=Y","Days=T","Dir=V")</f>
        <v>0</v>
      </c>
      <c r="AG2">
        <f>BDH("EPAC US Equity","IS_INT_EXPENSE","2016-06-30","2021-06-30","Per=Y","Days=T","Dir=V")</f>
        <v>0</v>
      </c>
      <c r="AI2">
        <f>BDH("EPAC US Equity","IS_DEPR_EXP","2016-06-30","2021-06-30","Per=Y","Days=T","Dir=V")</f>
        <v>0</v>
      </c>
      <c r="AK2">
        <f>BDH("EPAC US Equity","CF_CASH_FROM_OPER","2016-06-30","2021-06-30","Per=Y","Days=T","Dir=V")</f>
        <v>0</v>
      </c>
      <c r="AM2">
        <f>BDH("EPAC US Equity","CAPITAL_EXPEND","2016-06-30","2021-06-30","Per=Y","Days=T","Dir=V")</f>
        <v>0</v>
      </c>
      <c r="AO2">
        <f>BDH("EPAC US Equity","CF_FREE_CASH_FLOW","2016-06-30","2021-06-30","Per=Y","Days=T","Dir=V")</f>
        <v>0</v>
      </c>
      <c r="AQ2">
        <f>BDH("EPAC US Equity","PX_LAST","2016-06-30","2021-06-30","Per=M","Days=T","Dir=V")</f>
        <v>0</v>
      </c>
      <c r="AS2">
        <f>BDH("EPAC US Equity","CUR_MKT_CAP","2016-06-30","2021-06-30","Per=M","Days=T","Dir=V")</f>
        <v>0</v>
      </c>
      <c r="AU2">
        <f>BDH("EPAC US Equity","EQY_SH_OUT","2016-06-30","2021-06-30","Per=M","Days=T","Dir=V")</f>
        <v>0</v>
      </c>
      <c r="AW2">
        <f>BDH("EPAC US Equity","BETA_RAW_OVERRIABLE","2016-06-30","2021-06-30","Per=M","Days=T","Dir=V")</f>
        <v>0</v>
      </c>
      <c r="AY2">
        <f>BDH("EPAC US Equity","PX_VOLUME","2016-06-30","2021-06-30","Per=M","Days=T","Dir=V")</f>
        <v>0</v>
      </c>
      <c r="BA2">
        <f>BDH("EPAC US Equity","TURNOVER","2016-06-30","2021-06-30","Per=M","Days=T","Dir=V")</f>
        <v>0</v>
      </c>
      <c r="BC2">
        <f>BDH("EPAC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BDH("AIRG US Equity","BS_TOT_ASSET","2016-06-30","2021-06-30","Per=Y","Days=T","Dir=V")</f>
        <v>0</v>
      </c>
      <c r="C2">
        <f>BDH("AIRG US Equity","BS_TOT_LIAB2","2016-06-30","2021-06-30","Per=Y","Days=T","Dir=V")</f>
        <v>0</v>
      </c>
      <c r="E2">
        <f>BDH("AIRG US Equity","SHORT_AND_LONG_TERM_DEBT","2016-06-30","2021-06-30","Per=Y","Days=T","Dir=V")</f>
        <v>0</v>
      </c>
      <c r="G2">
        <f>BDH("AIRG US Equity","BS_ST_BORROW","2016-06-30","2021-06-30","Per=Y","Days=T","Dir=V")</f>
        <v>0</v>
      </c>
      <c r="I2">
        <f>BDH("AIRG US Equity","BS_LT_BORROW","2016-06-30","2021-06-30","Per=Y","Days=T","Dir=V")</f>
        <v>0</v>
      </c>
      <c r="K2">
        <f>BDH("AIRG US Equity","BS_CASH_NEAR_CASH_ITEM","2016-06-30","2021-06-30","Per=Y","Days=T","Dir=V")</f>
        <v>0</v>
      </c>
      <c r="M2">
        <f>BDH("AIRG US Equity","BS_CUR_ASSET_REPORT","2016-06-30","2021-06-30","Per=Y","Days=T","Dir=V")</f>
        <v>0</v>
      </c>
      <c r="O2">
        <f>BDH("AIRG US Equity","BS_CUR_LIAB","2016-06-30","2021-06-30","Per=Y","Days=T","Dir=V")</f>
        <v>0</v>
      </c>
      <c r="Q2">
        <f>BDH("AIRG US Equity","BS_SHAREHOLDER_EQY_ENDING_PERIOD","2016-06-30","2021-06-30","Per=Y","Days=T","Dir=V")</f>
        <v>0</v>
      </c>
      <c r="S2">
        <f>BDH("AIRG US Equity","BS_ACCT_NOTE_RCV","2016-06-30","2021-06-30","Per=Y","Days=T","Dir=V")</f>
        <v>0</v>
      </c>
      <c r="U2">
        <f>BDH("AIRG US Equity","BS_INVENTORIES","2016-06-30","2021-06-30","Per=Y","Days=T","Dir=V")</f>
        <v>0</v>
      </c>
      <c r="W2">
        <f>BDH("AIRG US Equity","WORKING_CAPITAL","2016-06-30","2021-06-30","Per=Y","Days=T","Dir=V")</f>
        <v>0</v>
      </c>
      <c r="Y2">
        <f>BDH("AIRG US Equity","SALES_REV_TURN","2016-06-30","2021-06-30","Per=Y","Days=T","Dir=V")</f>
        <v>0</v>
      </c>
      <c r="AA2">
        <f>BDH("AIRG US Equity","EBIT","2016-06-30","2021-06-30","Per=Y","Days=T","Dir=V")</f>
        <v>0</v>
      </c>
      <c r="AC2">
        <f>BDH("AIRG US Equity","EBITDA","2016-06-30","2021-06-30","Per=Y","Days=T","Dir=V")</f>
        <v>0</v>
      </c>
      <c r="AE2">
        <f>BDH("AIRG US Equity","NET_INCOME","2016-06-30","2021-06-30","Per=Y","Days=T","Dir=V")</f>
        <v>0</v>
      </c>
      <c r="AG2">
        <f>BDH("AIRG US Equity","IS_INT_EXPENSE","2016-06-30","2021-06-30","Per=Y","Days=T","Dir=V")</f>
        <v>0</v>
      </c>
      <c r="AI2">
        <f>BDH("AIRG US Equity","IS_DEPR_EXP","2016-06-30","2021-06-30","Per=Y","Days=T","Dir=V")</f>
        <v>0</v>
      </c>
      <c r="AK2">
        <f>BDH("AIRG US Equity","CF_CASH_FROM_OPER","2016-06-30","2021-06-30","Per=Y","Days=T","Dir=V")</f>
        <v>0</v>
      </c>
      <c r="AM2">
        <f>BDH("AIRG US Equity","CAPITAL_EXPEND","2016-06-30","2021-06-30","Per=Y","Days=T","Dir=V")</f>
        <v>0</v>
      </c>
      <c r="AO2">
        <f>BDH("AIRG US Equity","CF_FREE_CASH_FLOW","2016-06-30","2021-06-30","Per=Y","Days=T","Dir=V")</f>
        <v>0</v>
      </c>
      <c r="AQ2">
        <f>BDH("AIRG US Equity","PX_LAST","2016-06-30","2021-06-30","Per=M","Days=T","Dir=V")</f>
        <v>0</v>
      </c>
      <c r="AS2">
        <f>BDH("AIRG US Equity","CUR_MKT_CAP","2016-06-30","2021-06-30","Per=M","Days=T","Dir=V")</f>
        <v>0</v>
      </c>
      <c r="AU2">
        <f>BDH("AIRG US Equity","EQY_SH_OUT","2016-06-30","2021-06-30","Per=M","Days=T","Dir=V")</f>
        <v>0</v>
      </c>
      <c r="AW2">
        <f>BDH("AIRG US Equity","BETA_RAW_OVERRIABLE","2016-06-30","2021-06-30","Per=M","Days=T","Dir=V")</f>
        <v>0</v>
      </c>
      <c r="AY2">
        <f>BDH("AIRG US Equity","PX_VOLUME","2016-06-30","2021-06-30","Per=M","Days=T","Dir=V")</f>
        <v>0</v>
      </c>
      <c r="BA2">
        <f>BDH("AIRG US Equity","TURNOVER","2016-06-30","2021-06-30","Per=M","Days=T","Dir=V")</f>
        <v>0</v>
      </c>
      <c r="BC2">
        <f>BDH("AIRG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BDH("CLMB US Equity","BS_TOT_ASSET","2016-06-30","2021-06-30","Per=Y","Days=T","Dir=V")</f>
        <v>0</v>
      </c>
      <c r="C2">
        <f>BDH("CLMB US Equity","BS_TOT_LIAB2","2016-06-30","2021-06-30","Per=Y","Days=T","Dir=V")</f>
        <v>0</v>
      </c>
      <c r="E2">
        <f>BDH("CLMB US Equity","SHORT_AND_LONG_TERM_DEBT","2016-06-30","2021-06-30","Per=Y","Days=T","Dir=V")</f>
        <v>0</v>
      </c>
      <c r="G2">
        <f>BDH("CLMB US Equity","BS_ST_BORROW","2016-06-30","2021-06-30","Per=Y","Days=T","Dir=V")</f>
        <v>0</v>
      </c>
      <c r="I2">
        <f>BDH("CLMB US Equity","BS_LT_BORROW","2016-06-30","2021-06-30","Per=Y","Days=T","Dir=V")</f>
        <v>0</v>
      </c>
      <c r="K2">
        <f>BDH("CLMB US Equity","BS_CASH_NEAR_CASH_ITEM","2016-06-30","2021-06-30","Per=Y","Days=T","Dir=V")</f>
        <v>0</v>
      </c>
      <c r="M2">
        <f>BDH("CLMB US Equity","BS_CUR_ASSET_REPORT","2016-06-30","2021-06-30","Per=Y","Days=T","Dir=V")</f>
        <v>0</v>
      </c>
      <c r="O2">
        <f>BDH("CLMB US Equity","BS_CUR_LIAB","2016-06-30","2021-06-30","Per=Y","Days=T","Dir=V")</f>
        <v>0</v>
      </c>
      <c r="Q2">
        <f>BDH("CLMB US Equity","BS_SHAREHOLDER_EQY_ENDING_PERIOD","2016-06-30","2021-06-30","Per=Y","Days=T","Dir=V")</f>
        <v>0</v>
      </c>
      <c r="S2">
        <f>BDH("CLMB US Equity","BS_ACCT_NOTE_RCV","2016-06-30","2021-06-30","Per=Y","Days=T","Dir=V")</f>
        <v>0</v>
      </c>
      <c r="U2">
        <f>BDH("CLMB US Equity","BS_INVENTORIES","2016-06-30","2021-06-30","Per=Y","Days=T","Dir=V")</f>
        <v>0</v>
      </c>
      <c r="W2">
        <f>BDH("CLMB US Equity","WORKING_CAPITAL","2016-06-30","2021-06-30","Per=Y","Days=T","Dir=V")</f>
        <v>0</v>
      </c>
      <c r="Y2">
        <f>BDH("CLMB US Equity","SALES_REV_TURN","2016-06-30","2021-06-30","Per=Y","Days=T","Dir=V")</f>
        <v>0</v>
      </c>
      <c r="AA2">
        <f>BDH("CLMB US Equity","EBIT","2016-06-30","2021-06-30","Per=Y","Days=T","Dir=V")</f>
        <v>0</v>
      </c>
      <c r="AC2">
        <f>BDH("CLMB US Equity","EBITDA","2016-06-30","2021-06-30","Per=Y","Days=T","Dir=V")</f>
        <v>0</v>
      </c>
      <c r="AE2">
        <f>BDH("CLMB US Equity","NET_INCOME","2016-06-30","2021-06-30","Per=Y","Days=T","Dir=V")</f>
        <v>0</v>
      </c>
      <c r="AG2">
        <f>BDH("CLMB US Equity","IS_INT_EXPENSE","2016-06-30","2021-06-30","Per=Y","Days=T","Dir=V")</f>
        <v>0</v>
      </c>
      <c r="AI2">
        <f>BDH("CLMB US Equity","IS_DEPR_EXP","2016-06-30","2021-06-30","Per=Y","Days=T","Dir=V")</f>
        <v>0</v>
      </c>
      <c r="AK2">
        <f>BDH("CLMB US Equity","CF_CASH_FROM_OPER","2016-06-30","2021-06-30","Per=Y","Days=T","Dir=V")</f>
        <v>0</v>
      </c>
      <c r="AM2">
        <f>BDH("CLMB US Equity","CAPITAL_EXPEND","2016-06-30","2021-06-30","Per=Y","Days=T","Dir=V")</f>
        <v>0</v>
      </c>
      <c r="AO2">
        <f>BDH("CLMB US Equity","CF_FREE_CASH_FLOW","2016-06-30","2021-06-30","Per=Y","Days=T","Dir=V")</f>
        <v>0</v>
      </c>
      <c r="AQ2">
        <f>BDH("CLMB US Equity","PX_LAST","2016-06-30","2021-06-30","Per=M","Days=T","Dir=V")</f>
        <v>0</v>
      </c>
      <c r="AS2">
        <f>BDH("CLMB US Equity","CUR_MKT_CAP","2016-06-30","2021-06-30","Per=M","Days=T","Dir=V")</f>
        <v>0</v>
      </c>
      <c r="AU2">
        <f>BDH("CLMB US Equity","EQY_SH_OUT","2016-06-30","2021-06-30","Per=M","Days=T","Dir=V")</f>
        <v>0</v>
      </c>
      <c r="AW2">
        <f>BDH("CLMB US Equity","BETA_RAW_OVERRIABLE","2016-06-30","2021-06-30","Per=M","Days=T","Dir=V")</f>
        <v>0</v>
      </c>
      <c r="AY2">
        <f>BDH("CLMB US Equity","PX_VOLUME","2016-06-30","2021-06-30","Per=M","Days=T","Dir=V")</f>
        <v>0</v>
      </c>
      <c r="BA2">
        <f>BDH("CLMB US Equity","TURNOVER","2016-06-30","2021-06-30","Per=M","Days=T","Dir=V")</f>
        <v>0</v>
      </c>
      <c r="BC2">
        <f>BDH("CLMB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BDH("AAOI US Equity","BS_TOT_ASSET","2016-06-30","2021-06-30","Per=Y","Days=T","Dir=V")</f>
        <v>0</v>
      </c>
      <c r="C2">
        <f>BDH("AAOI US Equity","BS_TOT_LIAB2","2016-06-30","2021-06-30","Per=Y","Days=T","Dir=V")</f>
        <v>0</v>
      </c>
      <c r="E2">
        <f>BDH("AAOI US Equity","SHORT_AND_LONG_TERM_DEBT","2016-06-30","2021-06-30","Per=Y","Days=T","Dir=V")</f>
        <v>0</v>
      </c>
      <c r="G2">
        <f>BDH("AAOI US Equity","BS_ST_BORROW","2016-06-30","2021-06-30","Per=Y","Days=T","Dir=V")</f>
        <v>0</v>
      </c>
      <c r="I2">
        <f>BDH("AAOI US Equity","BS_LT_BORROW","2016-06-30","2021-06-30","Per=Y","Days=T","Dir=V")</f>
        <v>0</v>
      </c>
      <c r="K2">
        <f>BDH("AAOI US Equity","BS_CASH_NEAR_CASH_ITEM","2016-06-30","2021-06-30","Per=Y","Days=T","Dir=V")</f>
        <v>0</v>
      </c>
      <c r="M2">
        <f>BDH("AAOI US Equity","BS_CUR_ASSET_REPORT","2016-06-30","2021-06-30","Per=Y","Days=T","Dir=V")</f>
        <v>0</v>
      </c>
      <c r="O2">
        <f>BDH("AAOI US Equity","BS_CUR_LIAB","2016-06-30","2021-06-30","Per=Y","Days=T","Dir=V")</f>
        <v>0</v>
      </c>
      <c r="Q2">
        <f>BDH("AAOI US Equity","BS_SHAREHOLDER_EQY_ENDING_PERIOD","2016-06-30","2021-06-30","Per=Y","Days=T","Dir=V")</f>
        <v>0</v>
      </c>
      <c r="S2">
        <f>BDH("AAOI US Equity","BS_ACCT_NOTE_RCV","2016-06-30","2021-06-30","Per=Y","Days=T","Dir=V")</f>
        <v>0</v>
      </c>
      <c r="U2">
        <f>BDH("AAOI US Equity","BS_INVENTORIES","2016-06-30","2021-06-30","Per=Y","Days=T","Dir=V")</f>
        <v>0</v>
      </c>
      <c r="W2">
        <f>BDH("AAOI US Equity","WORKING_CAPITAL","2016-06-30","2021-06-30","Per=Y","Days=T","Dir=V")</f>
        <v>0</v>
      </c>
      <c r="Y2">
        <f>BDH("AAOI US Equity","SALES_REV_TURN","2016-06-30","2021-06-30","Per=Y","Days=T","Dir=V")</f>
        <v>0</v>
      </c>
      <c r="AA2">
        <f>BDH("AAOI US Equity","EBIT","2016-06-30","2021-06-30","Per=Y","Days=T","Dir=V")</f>
        <v>0</v>
      </c>
      <c r="AC2">
        <f>BDH("AAOI US Equity","EBITDA","2016-06-30","2021-06-30","Per=Y","Days=T","Dir=V")</f>
        <v>0</v>
      </c>
      <c r="AE2">
        <f>BDH("AAOI US Equity","NET_INCOME","2016-06-30","2021-06-30","Per=Y","Days=T","Dir=V")</f>
        <v>0</v>
      </c>
      <c r="AG2">
        <f>BDH("AAOI US Equity","IS_INT_EXPENSE","2016-06-30","2021-06-30","Per=Y","Days=T","Dir=V")</f>
        <v>0</v>
      </c>
      <c r="AI2">
        <f>BDH("AAOI US Equity","IS_DEPR_EXP","2016-06-30","2021-06-30","Per=Y","Days=T","Dir=V")</f>
        <v>0</v>
      </c>
      <c r="AK2">
        <f>BDH("AAOI US Equity","CF_CASH_FROM_OPER","2016-06-30","2021-06-30","Per=Y","Days=T","Dir=V")</f>
        <v>0</v>
      </c>
      <c r="AM2">
        <f>BDH("AAOI US Equity","CAPITAL_EXPEND","2016-06-30","2021-06-30","Per=Y","Days=T","Dir=V")</f>
        <v>0</v>
      </c>
      <c r="AO2">
        <f>BDH("AAOI US Equity","CF_FREE_CASH_FLOW","2016-06-30","2021-06-30","Per=Y","Days=T","Dir=V")</f>
        <v>0</v>
      </c>
      <c r="AQ2">
        <f>BDH("AAOI US Equity","PX_LAST","2016-06-30","2021-06-30","Per=M","Days=T","Dir=V")</f>
        <v>0</v>
      </c>
      <c r="AS2">
        <f>BDH("AAOI US Equity","CUR_MKT_CAP","2016-06-30","2021-06-30","Per=M","Days=T","Dir=V")</f>
        <v>0</v>
      </c>
      <c r="AU2">
        <f>BDH("AAOI US Equity","EQY_SH_OUT","2016-06-30","2021-06-30","Per=M","Days=T","Dir=V")</f>
        <v>0</v>
      </c>
      <c r="AW2">
        <f>BDH("AAOI US Equity","BETA_RAW_OVERRIABLE","2016-06-30","2021-06-30","Per=M","Days=T","Dir=V")</f>
        <v>0</v>
      </c>
      <c r="AY2">
        <f>BDH("AAOI US Equity","PX_VOLUME","2016-06-30","2021-06-30","Per=M","Days=T","Dir=V")</f>
        <v>0</v>
      </c>
      <c r="BA2">
        <f>BDH("AAOI US Equity","TURNOVER","2016-06-30","2021-06-30","Per=M","Days=T","Dir=V")</f>
        <v>0</v>
      </c>
      <c r="BC2">
        <f>BDH("AAOI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BDH("ALGM US Equity","BS_TOT_ASSET","2016-06-30","2021-06-30","Per=Y","Days=T","Dir=V")</f>
        <v>0</v>
      </c>
      <c r="C2">
        <f>BDH("ALGM US Equity","BS_TOT_LIAB2","2016-06-30","2021-06-30","Per=Y","Days=T","Dir=V")</f>
        <v>0</v>
      </c>
      <c r="E2">
        <f>BDH("ALGM US Equity","SHORT_AND_LONG_TERM_DEBT","2016-06-30","2021-06-30","Per=Y","Days=T","Dir=V")</f>
        <v>0</v>
      </c>
      <c r="G2">
        <f>BDH("ALGM US Equity","BS_ST_BORROW","2016-06-30","2021-06-30","Per=Y","Days=T","Dir=V")</f>
        <v>0</v>
      </c>
      <c r="I2">
        <f>BDH("ALGM US Equity","BS_LT_BORROW","2016-06-30","2021-06-30","Per=Y","Days=T","Dir=V")</f>
        <v>0</v>
      </c>
      <c r="K2">
        <f>BDH("ALGM US Equity","BS_CASH_NEAR_CASH_ITEM","2016-06-30","2021-06-30","Per=Y","Days=T","Dir=V")</f>
        <v>0</v>
      </c>
      <c r="M2">
        <f>BDH("ALGM US Equity","BS_CUR_ASSET_REPORT","2016-06-30","2021-06-30","Per=Y","Days=T","Dir=V")</f>
        <v>0</v>
      </c>
      <c r="O2">
        <f>BDH("ALGM US Equity","BS_CUR_LIAB","2016-06-30","2021-06-30","Per=Y","Days=T","Dir=V")</f>
        <v>0</v>
      </c>
      <c r="Q2">
        <f>BDH("ALGM US Equity","BS_SHAREHOLDER_EQY_ENDING_PERIOD","2016-06-30","2021-06-30","Per=Y","Days=T","Dir=V")</f>
        <v>0</v>
      </c>
      <c r="S2">
        <f>BDH("ALGM US Equity","BS_ACCT_NOTE_RCV","2016-06-30","2021-06-30","Per=Y","Days=T","Dir=V")</f>
        <v>0</v>
      </c>
      <c r="U2">
        <f>BDH("ALGM US Equity","BS_INVENTORIES","2016-06-30","2021-06-30","Per=Y","Days=T","Dir=V")</f>
        <v>0</v>
      </c>
      <c r="W2">
        <f>BDH("ALGM US Equity","WORKING_CAPITAL","2016-06-30","2021-06-30","Per=Y","Days=T","Dir=V")</f>
        <v>0</v>
      </c>
      <c r="Y2">
        <f>BDH("ALGM US Equity","SALES_REV_TURN","2016-06-30","2021-06-30","Per=Y","Days=T","Dir=V")</f>
        <v>0</v>
      </c>
      <c r="AA2">
        <f>BDH("ALGM US Equity","EBIT","2016-06-30","2021-06-30","Per=Y","Days=T","Dir=V")</f>
        <v>0</v>
      </c>
      <c r="AC2">
        <f>BDH("ALGM US Equity","EBITDA","2016-06-30","2021-06-30","Per=Y","Days=T","Dir=V")</f>
        <v>0</v>
      </c>
      <c r="AE2">
        <f>BDH("ALGM US Equity","NET_INCOME","2016-06-30","2021-06-30","Per=Y","Days=T","Dir=V")</f>
        <v>0</v>
      </c>
      <c r="AG2">
        <f>BDH("ALGM US Equity","IS_INT_EXPENSE","2016-06-30","2021-06-30","Per=Y","Days=T","Dir=V")</f>
        <v>0</v>
      </c>
      <c r="AI2">
        <f>BDH("ALGM US Equity","IS_DEPR_EXP","2016-06-30","2021-06-30","Per=Y","Days=T","Dir=V")</f>
        <v>0</v>
      </c>
      <c r="AK2">
        <f>BDH("ALGM US Equity","CF_CASH_FROM_OPER","2016-06-30","2021-06-30","Per=Y","Days=T","Dir=V")</f>
        <v>0</v>
      </c>
      <c r="AM2">
        <f>BDH("ALGM US Equity","CAPITAL_EXPEND","2016-06-30","2021-06-30","Per=Y","Days=T","Dir=V")</f>
        <v>0</v>
      </c>
      <c r="AO2">
        <f>BDH("ALGM US Equity","CF_FREE_CASH_FLOW","2016-06-30","2021-06-30","Per=Y","Days=T","Dir=V")</f>
        <v>0</v>
      </c>
      <c r="AQ2">
        <f>BDH("ALGM US Equity","PX_LAST","2016-06-30","2021-06-30","Per=M","Days=T","Dir=V")</f>
        <v>0</v>
      </c>
      <c r="AS2">
        <f>BDH("ALGM US Equity","CUR_MKT_CAP","2016-06-30","2021-06-30","Per=M","Days=T","Dir=V")</f>
        <v>0</v>
      </c>
      <c r="AU2">
        <f>BDH("ALGM US Equity","EQY_SH_OUT","2016-06-30","2021-06-30","Per=M","Days=T","Dir=V")</f>
        <v>0</v>
      </c>
      <c r="AW2">
        <f>BDH("ALGM US Equity","BETA_RAW_OVERRIABLE","2016-06-30","2021-06-30","Per=M","Days=T","Dir=V")</f>
        <v>0</v>
      </c>
      <c r="AY2">
        <f>BDH("ALGM US Equity","PX_VOLUME","2016-06-30","2021-06-30","Per=M","Days=T","Dir=V")</f>
        <v>0</v>
      </c>
      <c r="BA2">
        <f>BDH("ALGM US Equity","TURNOVER","2016-06-30","2021-06-30","Per=M","Days=T","Dir=V")</f>
        <v>0</v>
      </c>
      <c r="BC2">
        <f>BDH("ALGM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BDH("AMKR US Equity","BS_TOT_ASSET","2016-06-30","2021-06-30","Per=Y","Days=T","Dir=V")</f>
        <v>0</v>
      </c>
      <c r="C2">
        <f>BDH("AMKR US Equity","BS_TOT_LIAB2","2016-06-30","2021-06-30","Per=Y","Days=T","Dir=V")</f>
        <v>0</v>
      </c>
      <c r="E2">
        <f>BDH("AMKR US Equity","SHORT_AND_LONG_TERM_DEBT","2016-06-30","2021-06-30","Per=Y","Days=T","Dir=V")</f>
        <v>0</v>
      </c>
      <c r="G2">
        <f>BDH("AMKR US Equity","BS_ST_BORROW","2016-06-30","2021-06-30","Per=Y","Days=T","Dir=V")</f>
        <v>0</v>
      </c>
      <c r="I2">
        <f>BDH("AMKR US Equity","BS_LT_BORROW","2016-06-30","2021-06-30","Per=Y","Days=T","Dir=V")</f>
        <v>0</v>
      </c>
      <c r="K2">
        <f>BDH("AMKR US Equity","BS_CASH_NEAR_CASH_ITEM","2016-06-30","2021-06-30","Per=Y","Days=T","Dir=V")</f>
        <v>0</v>
      </c>
      <c r="M2">
        <f>BDH("AMKR US Equity","BS_CUR_ASSET_REPORT","2016-06-30","2021-06-30","Per=Y","Days=T","Dir=V")</f>
        <v>0</v>
      </c>
      <c r="O2">
        <f>BDH("AMKR US Equity","BS_CUR_LIAB","2016-06-30","2021-06-30","Per=Y","Days=T","Dir=V")</f>
        <v>0</v>
      </c>
      <c r="Q2">
        <f>BDH("AMKR US Equity","BS_SHAREHOLDER_EQY_ENDING_PERIOD","2016-06-30","2021-06-30","Per=Y","Days=T","Dir=V")</f>
        <v>0</v>
      </c>
      <c r="S2">
        <f>BDH("AMKR US Equity","BS_ACCT_NOTE_RCV","2016-06-30","2021-06-30","Per=Y","Days=T","Dir=V")</f>
        <v>0</v>
      </c>
      <c r="U2">
        <f>BDH("AMKR US Equity","BS_INVENTORIES","2016-06-30","2021-06-30","Per=Y","Days=T","Dir=V")</f>
        <v>0</v>
      </c>
      <c r="W2">
        <f>BDH("AMKR US Equity","WORKING_CAPITAL","2016-06-30","2021-06-30","Per=Y","Days=T","Dir=V")</f>
        <v>0</v>
      </c>
      <c r="Y2">
        <f>BDH("AMKR US Equity","SALES_REV_TURN","2016-06-30","2021-06-30","Per=Y","Days=T","Dir=V")</f>
        <v>0</v>
      </c>
      <c r="AA2">
        <f>BDH("AMKR US Equity","EBIT","2016-06-30","2021-06-30","Per=Y","Days=T","Dir=V")</f>
        <v>0</v>
      </c>
      <c r="AC2">
        <f>BDH("AMKR US Equity","EBITDA","2016-06-30","2021-06-30","Per=Y","Days=T","Dir=V")</f>
        <v>0</v>
      </c>
      <c r="AE2">
        <f>BDH("AMKR US Equity","NET_INCOME","2016-06-30","2021-06-30","Per=Y","Days=T","Dir=V")</f>
        <v>0</v>
      </c>
      <c r="AG2">
        <f>BDH("AMKR US Equity","IS_INT_EXPENSE","2016-06-30","2021-06-30","Per=Y","Days=T","Dir=V")</f>
        <v>0</v>
      </c>
      <c r="AI2">
        <f>BDH("AMKR US Equity","IS_DEPR_EXP","2016-06-30","2021-06-30","Per=Y","Days=T","Dir=V")</f>
        <v>0</v>
      </c>
      <c r="AK2">
        <f>BDH("AMKR US Equity","CF_CASH_FROM_OPER","2016-06-30","2021-06-30","Per=Y","Days=T","Dir=V")</f>
        <v>0</v>
      </c>
      <c r="AM2">
        <f>BDH("AMKR US Equity","CAPITAL_EXPEND","2016-06-30","2021-06-30","Per=Y","Days=T","Dir=V")</f>
        <v>0</v>
      </c>
      <c r="AO2">
        <f>BDH("AMKR US Equity","CF_FREE_CASH_FLOW","2016-06-30","2021-06-30","Per=Y","Days=T","Dir=V")</f>
        <v>0</v>
      </c>
      <c r="AQ2">
        <f>BDH("AMKR US Equity","PX_LAST","2016-06-30","2021-06-30","Per=M","Days=T","Dir=V")</f>
        <v>0</v>
      </c>
      <c r="AS2">
        <f>BDH("AMKR US Equity","CUR_MKT_CAP","2016-06-30","2021-06-30","Per=M","Days=T","Dir=V")</f>
        <v>0</v>
      </c>
      <c r="AU2">
        <f>BDH("AMKR US Equity","EQY_SH_OUT","2016-06-30","2021-06-30","Per=M","Days=T","Dir=V")</f>
        <v>0</v>
      </c>
      <c r="AW2">
        <f>BDH("AMKR US Equity","BETA_RAW_OVERRIABLE","2016-06-30","2021-06-30","Per=M","Days=T","Dir=V")</f>
        <v>0</v>
      </c>
      <c r="AY2">
        <f>BDH("AMKR US Equity","PX_VOLUME","2016-06-30","2021-06-30","Per=M","Days=T","Dir=V")</f>
        <v>0</v>
      </c>
      <c r="BA2">
        <f>BDH("AMKR US Equity","TURNOVER","2016-06-30","2021-06-30","Per=M","Days=T","Dir=V")</f>
        <v>0</v>
      </c>
      <c r="BC2">
        <f>BDH("AMKR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BDH("KOPN US Equity","BS_TOT_ASSET","2016-06-30","2021-06-30","Per=Y","Days=T","Dir=V")</f>
        <v>0</v>
      </c>
      <c r="C2">
        <f>BDH("KOPN US Equity","BS_TOT_LIAB2","2016-06-30","2021-06-30","Per=Y","Days=T","Dir=V")</f>
        <v>0</v>
      </c>
      <c r="E2">
        <f>BDH("KOPN US Equity","SHORT_AND_LONG_TERM_DEBT","2016-06-30","2021-06-30","Per=Y","Days=T","Dir=V")</f>
        <v>0</v>
      </c>
      <c r="G2">
        <f>BDH("KOPN US Equity","BS_ST_BORROW","2016-06-30","2021-06-30","Per=Y","Days=T","Dir=V")</f>
        <v>0</v>
      </c>
      <c r="I2">
        <f>BDH("KOPN US Equity","BS_LT_BORROW","2016-06-30","2021-06-30","Per=Y","Days=T","Dir=V")</f>
        <v>0</v>
      </c>
      <c r="K2">
        <f>BDH("KOPN US Equity","BS_CASH_NEAR_CASH_ITEM","2016-06-30","2021-06-30","Per=Y","Days=T","Dir=V")</f>
        <v>0</v>
      </c>
      <c r="M2">
        <f>BDH("KOPN US Equity","BS_CUR_ASSET_REPORT","2016-06-30","2021-06-30","Per=Y","Days=T","Dir=V")</f>
        <v>0</v>
      </c>
      <c r="O2">
        <f>BDH("KOPN US Equity","BS_CUR_LIAB","2016-06-30","2021-06-30","Per=Y","Days=T","Dir=V")</f>
        <v>0</v>
      </c>
      <c r="Q2">
        <f>BDH("KOPN US Equity","BS_SHAREHOLDER_EQY_ENDING_PERIOD","2016-06-30","2021-06-30","Per=Y","Days=T","Dir=V")</f>
        <v>0</v>
      </c>
      <c r="S2">
        <f>BDH("KOPN US Equity","BS_ACCT_NOTE_RCV","2016-06-30","2021-06-30","Per=Y","Days=T","Dir=V")</f>
        <v>0</v>
      </c>
      <c r="U2">
        <f>BDH("KOPN US Equity","BS_INVENTORIES","2016-06-30","2021-06-30","Per=Y","Days=T","Dir=V")</f>
        <v>0</v>
      </c>
      <c r="W2">
        <f>BDH("KOPN US Equity","WORKING_CAPITAL","2016-06-30","2021-06-30","Per=Y","Days=T","Dir=V")</f>
        <v>0</v>
      </c>
      <c r="Y2">
        <f>BDH("KOPN US Equity","SALES_REV_TURN","2016-06-30","2021-06-30","Per=Y","Days=T","Dir=V")</f>
        <v>0</v>
      </c>
      <c r="AA2">
        <f>BDH("KOPN US Equity","EBIT","2016-06-30","2021-06-30","Per=Y","Days=T","Dir=V")</f>
        <v>0</v>
      </c>
      <c r="AC2">
        <f>BDH("KOPN US Equity","EBITDA","2016-06-30","2021-06-30","Per=Y","Days=T","Dir=V")</f>
        <v>0</v>
      </c>
      <c r="AE2">
        <f>BDH("KOPN US Equity","NET_INCOME","2016-06-30","2021-06-30","Per=Y","Days=T","Dir=V")</f>
        <v>0</v>
      </c>
      <c r="AG2">
        <f>BDH("KOPN US Equity","IS_INT_EXPENSE","2016-06-30","2021-06-30","Per=Y","Days=T","Dir=V")</f>
        <v>0</v>
      </c>
      <c r="AI2">
        <f>BDH("KOPN US Equity","IS_DEPR_EXP","2016-06-30","2021-06-30","Per=Y","Days=T","Dir=V")</f>
        <v>0</v>
      </c>
      <c r="AK2">
        <f>BDH("KOPN US Equity","CF_CASH_FROM_OPER","2016-06-30","2021-06-30","Per=Y","Days=T","Dir=V")</f>
        <v>0</v>
      </c>
      <c r="AM2">
        <f>BDH("KOPN US Equity","CAPITAL_EXPEND","2016-06-30","2021-06-30","Per=Y","Days=T","Dir=V")</f>
        <v>0</v>
      </c>
      <c r="AO2">
        <f>BDH("KOPN US Equity","CF_FREE_CASH_FLOW","2016-06-30","2021-06-30","Per=Y","Days=T","Dir=V")</f>
        <v>0</v>
      </c>
      <c r="AQ2">
        <f>BDH("KOPN US Equity","PX_LAST","2016-06-30","2021-06-30","Per=M","Days=T","Dir=V")</f>
        <v>0</v>
      </c>
      <c r="AS2">
        <f>BDH("KOPN US Equity","CUR_MKT_CAP","2016-06-30","2021-06-30","Per=M","Days=T","Dir=V")</f>
        <v>0</v>
      </c>
      <c r="AU2">
        <f>BDH("KOPN US Equity","EQY_SH_OUT","2016-06-30","2021-06-30","Per=M","Days=T","Dir=V")</f>
        <v>0</v>
      </c>
      <c r="AW2">
        <f>BDH("KOPN US Equity","BETA_RAW_OVERRIABLE","2016-06-30","2021-06-30","Per=M","Days=T","Dir=V")</f>
        <v>0</v>
      </c>
      <c r="AY2">
        <f>BDH("KOPN US Equity","PX_VOLUME","2016-06-30","2021-06-30","Per=M","Days=T","Dir=V")</f>
        <v>0</v>
      </c>
      <c r="BA2">
        <f>BDH("KOPN US Equity","TURNOVER","2016-06-30","2021-06-30","Per=M","Days=T","Dir=V")</f>
        <v>0</v>
      </c>
      <c r="BC2">
        <f>BDH("KOPN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BDH("MRVL US Equity","BS_TOT_ASSET","2016-06-30","2021-06-30","Per=Y","Days=T","Dir=V")</f>
        <v>0</v>
      </c>
      <c r="C2">
        <f>BDH("MRVL US Equity","BS_TOT_LIAB2","2016-06-30","2021-06-30","Per=Y","Days=T","Dir=V")</f>
        <v>0</v>
      </c>
      <c r="E2">
        <f>BDH("MRVL US Equity","SHORT_AND_LONG_TERM_DEBT","2016-06-30","2021-06-30","Per=Y","Days=T","Dir=V")</f>
        <v>0</v>
      </c>
      <c r="G2">
        <f>BDH("MRVL US Equity","BS_ST_BORROW","2016-06-30","2021-06-30","Per=Y","Days=T","Dir=V")</f>
        <v>0</v>
      </c>
      <c r="I2">
        <f>BDH("MRVL US Equity","BS_LT_BORROW","2016-06-30","2021-06-30","Per=Y","Days=T","Dir=V")</f>
        <v>0</v>
      </c>
      <c r="K2">
        <f>BDH("MRVL US Equity","BS_CASH_NEAR_CASH_ITEM","2016-06-30","2021-06-30","Per=Y","Days=T","Dir=V")</f>
        <v>0</v>
      </c>
      <c r="M2">
        <f>BDH("MRVL US Equity","BS_CUR_ASSET_REPORT","2016-06-30","2021-06-30","Per=Y","Days=T","Dir=V")</f>
        <v>0</v>
      </c>
      <c r="O2">
        <f>BDH("MRVL US Equity","BS_CUR_LIAB","2016-06-30","2021-06-30","Per=Y","Days=T","Dir=V")</f>
        <v>0</v>
      </c>
      <c r="Q2">
        <f>BDH("MRVL US Equity","BS_SHAREHOLDER_EQY_ENDING_PERIOD","2016-06-30","2021-06-30","Per=Y","Days=T","Dir=V")</f>
        <v>0</v>
      </c>
      <c r="S2">
        <f>BDH("MRVL US Equity","BS_ACCT_NOTE_RCV","2016-06-30","2021-06-30","Per=Y","Days=T","Dir=V")</f>
        <v>0</v>
      </c>
      <c r="U2">
        <f>BDH("MRVL US Equity","BS_INVENTORIES","2016-06-30","2021-06-30","Per=Y","Days=T","Dir=V")</f>
        <v>0</v>
      </c>
      <c r="W2">
        <f>BDH("MRVL US Equity","WORKING_CAPITAL","2016-06-30","2021-06-30","Per=Y","Days=T","Dir=V")</f>
        <v>0</v>
      </c>
      <c r="Y2">
        <f>BDH("MRVL US Equity","SALES_REV_TURN","2016-06-30","2021-06-30","Per=Y","Days=T","Dir=V")</f>
        <v>0</v>
      </c>
      <c r="AA2">
        <f>BDH("MRVL US Equity","EBIT","2016-06-30","2021-06-30","Per=Y","Days=T","Dir=V")</f>
        <v>0</v>
      </c>
      <c r="AC2">
        <f>BDH("MRVL US Equity","EBITDA","2016-06-30","2021-06-30","Per=Y","Days=T","Dir=V")</f>
        <v>0</v>
      </c>
      <c r="AE2">
        <f>BDH("MRVL US Equity","NET_INCOME","2016-06-30","2021-06-30","Per=Y","Days=T","Dir=V")</f>
        <v>0</v>
      </c>
      <c r="AG2">
        <f>BDH("MRVL US Equity","IS_INT_EXPENSE","2016-06-30","2021-06-30","Per=Y","Days=T","Dir=V")</f>
        <v>0</v>
      </c>
      <c r="AI2">
        <f>BDH("MRVL US Equity","IS_DEPR_EXP","2016-06-30","2021-06-30","Per=Y","Days=T","Dir=V")</f>
        <v>0</v>
      </c>
      <c r="AK2">
        <f>BDH("MRVL US Equity","CF_CASH_FROM_OPER","2016-06-30","2021-06-30","Per=Y","Days=T","Dir=V")</f>
        <v>0</v>
      </c>
      <c r="AM2">
        <f>BDH("MRVL US Equity","CAPITAL_EXPEND","2016-06-30","2021-06-30","Per=Y","Days=T","Dir=V")</f>
        <v>0</v>
      </c>
      <c r="AO2">
        <f>BDH("MRVL US Equity","CF_FREE_CASH_FLOW","2016-06-30","2021-06-30","Per=Y","Days=T","Dir=V")</f>
        <v>0</v>
      </c>
      <c r="AQ2">
        <f>BDH("MRVL US Equity","PX_LAST","2016-06-30","2021-06-30","Per=M","Days=T","Dir=V")</f>
        <v>0</v>
      </c>
      <c r="AS2">
        <f>BDH("MRVL US Equity","CUR_MKT_CAP","2016-06-30","2021-06-30","Per=M","Days=T","Dir=V")</f>
        <v>0</v>
      </c>
      <c r="AU2">
        <f>BDH("MRVL US Equity","EQY_SH_OUT","2016-06-30","2021-06-30","Per=M","Days=T","Dir=V")</f>
        <v>0</v>
      </c>
      <c r="AW2">
        <f>BDH("MRVL US Equity","BETA_RAW_OVERRIABLE","2016-06-30","2021-06-30","Per=M","Days=T","Dir=V")</f>
        <v>0</v>
      </c>
      <c r="AY2">
        <f>BDH("MRVL US Equity","PX_VOLUME","2016-06-30","2021-06-30","Per=M","Days=T","Dir=V")</f>
        <v>0</v>
      </c>
      <c r="BA2">
        <f>BDH("MRVL US Equity","TURNOVER","2016-06-30","2021-06-30","Per=M","Days=T","Dir=V")</f>
        <v>0</v>
      </c>
      <c r="BC2">
        <f>BDH("MRVL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BDH("LILA US Equity","BS_TOT_ASSET","2016-06-30","2021-06-30","Per=Y","Days=T","Dir=V")</f>
        <v>0</v>
      </c>
      <c r="C2">
        <f>BDH("LILA US Equity","BS_TOT_LIAB2","2016-06-30","2021-06-30","Per=Y","Days=T","Dir=V")</f>
        <v>0</v>
      </c>
      <c r="E2">
        <f>BDH("LILA US Equity","SHORT_AND_LONG_TERM_DEBT","2016-06-30","2021-06-30","Per=Y","Days=T","Dir=V")</f>
        <v>0</v>
      </c>
      <c r="G2">
        <f>BDH("LILA US Equity","BS_ST_BORROW","2016-06-30","2021-06-30","Per=Y","Days=T","Dir=V")</f>
        <v>0</v>
      </c>
      <c r="I2">
        <f>BDH("LILA US Equity","BS_LT_BORROW","2016-06-30","2021-06-30","Per=Y","Days=T","Dir=V")</f>
        <v>0</v>
      </c>
      <c r="K2">
        <f>BDH("LILA US Equity","BS_CASH_NEAR_CASH_ITEM","2016-06-30","2021-06-30","Per=Y","Days=T","Dir=V")</f>
        <v>0</v>
      </c>
      <c r="M2">
        <f>BDH("LILA US Equity","BS_CUR_ASSET_REPORT","2016-06-30","2021-06-30","Per=Y","Days=T","Dir=V")</f>
        <v>0</v>
      </c>
      <c r="O2">
        <f>BDH("LILA US Equity","BS_CUR_LIAB","2016-06-30","2021-06-30","Per=Y","Days=T","Dir=V")</f>
        <v>0</v>
      </c>
      <c r="Q2">
        <f>BDH("LILA US Equity","BS_SHAREHOLDER_EQY_ENDING_PERIOD","2016-06-30","2021-06-30","Per=Y","Days=T","Dir=V")</f>
        <v>0</v>
      </c>
      <c r="S2">
        <f>BDH("LILA US Equity","BS_ACCT_NOTE_RCV","2016-06-30","2021-06-30","Per=Y","Days=T","Dir=V")</f>
        <v>0</v>
      </c>
      <c r="U2">
        <f>BDH("LILA US Equity","BS_INVENTORIES","2016-06-30","2021-06-30","Per=Y","Days=T","Dir=V")</f>
        <v>0</v>
      </c>
      <c r="W2">
        <f>BDH("LILA US Equity","WORKING_CAPITAL","2016-06-30","2021-06-30","Per=Y","Days=T","Dir=V")</f>
        <v>0</v>
      </c>
      <c r="Y2">
        <f>BDH("LILA US Equity","SALES_REV_TURN","2016-06-30","2021-06-30","Per=Y","Days=T","Dir=V")</f>
        <v>0</v>
      </c>
      <c r="AA2">
        <f>BDH("LILA US Equity","EBIT","2016-06-30","2021-06-30","Per=Y","Days=T","Dir=V")</f>
        <v>0</v>
      </c>
      <c r="AC2">
        <f>BDH("LILA US Equity","EBITDA","2016-06-30","2021-06-30","Per=Y","Days=T","Dir=V")</f>
        <v>0</v>
      </c>
      <c r="AE2">
        <f>BDH("LILA US Equity","NET_INCOME","2016-06-30","2021-06-30","Per=Y","Days=T","Dir=V")</f>
        <v>0</v>
      </c>
      <c r="AG2">
        <f>BDH("LILA US Equity","IS_INT_EXPENSE","2016-06-30","2021-06-30","Per=Y","Days=T","Dir=V")</f>
        <v>0</v>
      </c>
      <c r="AI2">
        <f>BDH("LILA US Equity","IS_DEPR_EXP","2016-06-30","2021-06-30","Per=Y","Days=T","Dir=V")</f>
        <v>0</v>
      </c>
      <c r="AK2">
        <f>BDH("LILA US Equity","CF_CASH_FROM_OPER","2016-06-30","2021-06-30","Per=Y","Days=T","Dir=V")</f>
        <v>0</v>
      </c>
      <c r="AM2">
        <f>BDH("LILA US Equity","CAPITAL_EXPEND","2016-06-30","2021-06-30","Per=Y","Days=T","Dir=V")</f>
        <v>0</v>
      </c>
      <c r="AO2">
        <f>BDH("LILA US Equity","CF_FREE_CASH_FLOW","2016-06-30","2021-06-30","Per=Y","Days=T","Dir=V")</f>
        <v>0</v>
      </c>
      <c r="AQ2">
        <f>BDH("LILA US Equity","PX_LAST","2016-06-30","2021-06-30","Per=M","Days=T","Dir=V")</f>
        <v>0</v>
      </c>
      <c r="AS2">
        <f>BDH("LILA US Equity","CUR_MKT_CAP","2016-06-30","2021-06-30","Per=M","Days=T","Dir=V")</f>
        <v>0</v>
      </c>
      <c r="AU2">
        <f>BDH("LILA US Equity","EQY_SH_OUT","2016-06-30","2021-06-30","Per=M","Days=T","Dir=V")</f>
        <v>0</v>
      </c>
      <c r="AW2">
        <f>BDH("LILA US Equity","BETA_RAW_OVERRIABLE","2016-06-30","2021-06-30","Per=M","Days=T","Dir=V")</f>
        <v>0</v>
      </c>
      <c r="AY2">
        <f>BDH("LILA US Equity","PX_VOLUME","2016-06-30","2021-06-30","Per=M","Days=T","Dir=V")</f>
        <v>0</v>
      </c>
      <c r="BA2">
        <f>BDH("LILA US Equity","TURNOVER","2016-06-30","2021-06-30","Per=M","Days=T","Dir=V")</f>
        <v>0</v>
      </c>
      <c r="BC2">
        <f>BDH("LILA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BDH("INTZ US Equity","BS_TOT_ASSET","2016-06-30","2021-06-30","Per=Y","Days=T","Dir=V")</f>
        <v>0</v>
      </c>
      <c r="C2">
        <f>BDH("INTZ US Equity","BS_TOT_LIAB2","2016-06-30","2021-06-30","Per=Y","Days=T","Dir=V")</f>
        <v>0</v>
      </c>
      <c r="E2">
        <f>BDH("INTZ US Equity","SHORT_AND_LONG_TERM_DEBT","2016-06-30","2021-06-30","Per=Y","Days=T","Dir=V")</f>
        <v>0</v>
      </c>
      <c r="G2">
        <f>BDH("INTZ US Equity","BS_ST_BORROW","2016-06-30","2021-06-30","Per=Y","Days=T","Dir=V")</f>
        <v>0</v>
      </c>
      <c r="I2">
        <f>BDH("INTZ US Equity","BS_LT_BORROW","2016-06-30","2021-06-30","Per=Y","Days=T","Dir=V")</f>
        <v>0</v>
      </c>
      <c r="K2">
        <f>BDH("INTZ US Equity","BS_CASH_NEAR_CASH_ITEM","2016-06-30","2021-06-30","Per=Y","Days=T","Dir=V")</f>
        <v>0</v>
      </c>
      <c r="M2">
        <f>BDH("INTZ US Equity","BS_CUR_ASSET_REPORT","2016-06-30","2021-06-30","Per=Y","Days=T","Dir=V")</f>
        <v>0</v>
      </c>
      <c r="O2">
        <f>BDH("INTZ US Equity","BS_CUR_LIAB","2016-06-30","2021-06-30","Per=Y","Days=T","Dir=V")</f>
        <v>0</v>
      </c>
      <c r="Q2">
        <f>BDH("INTZ US Equity","BS_SHAREHOLDER_EQY_ENDING_PERIOD","2016-06-30","2021-06-30","Per=Y","Days=T","Dir=V")</f>
        <v>0</v>
      </c>
      <c r="S2">
        <f>BDH("INTZ US Equity","BS_ACCT_NOTE_RCV","2016-06-30","2021-06-30","Per=Y","Days=T","Dir=V")</f>
        <v>0</v>
      </c>
      <c r="U2">
        <f>BDH("INTZ US Equity","BS_INVENTORIES","2016-06-30","2021-06-30","Per=Y","Days=T","Dir=V")</f>
        <v>0</v>
      </c>
      <c r="W2">
        <f>BDH("INTZ US Equity","WORKING_CAPITAL","2016-06-30","2021-06-30","Per=Y","Days=T","Dir=V")</f>
        <v>0</v>
      </c>
      <c r="Y2">
        <f>BDH("INTZ US Equity","SALES_REV_TURN","2016-06-30","2021-06-30","Per=Y","Days=T","Dir=V")</f>
        <v>0</v>
      </c>
      <c r="AA2">
        <f>BDH("INTZ US Equity","EBIT","2016-06-30","2021-06-30","Per=Y","Days=T","Dir=V")</f>
        <v>0</v>
      </c>
      <c r="AC2">
        <f>BDH("INTZ US Equity","EBITDA","2016-06-30","2021-06-30","Per=Y","Days=T","Dir=V")</f>
        <v>0</v>
      </c>
      <c r="AE2">
        <f>BDH("INTZ US Equity","NET_INCOME","2016-06-30","2021-06-30","Per=Y","Days=T","Dir=V")</f>
        <v>0</v>
      </c>
      <c r="AG2">
        <f>BDH("INTZ US Equity","IS_INT_EXPENSE","2016-06-30","2021-06-30","Per=Y","Days=T","Dir=V")</f>
        <v>0</v>
      </c>
      <c r="AI2">
        <f>BDH("INTZ US Equity","IS_DEPR_EXP","2016-06-30","2021-06-30","Per=Y","Days=T","Dir=V")</f>
        <v>0</v>
      </c>
      <c r="AK2">
        <f>BDH("INTZ US Equity","CF_CASH_FROM_OPER","2016-06-30","2021-06-30","Per=Y","Days=T","Dir=V")</f>
        <v>0</v>
      </c>
      <c r="AM2">
        <f>BDH("INTZ US Equity","CAPITAL_EXPEND","2016-06-30","2021-06-30","Per=Y","Days=T","Dir=V")</f>
        <v>0</v>
      </c>
      <c r="AO2">
        <f>BDH("INTZ US Equity","CF_FREE_CASH_FLOW","2016-06-30","2021-06-30","Per=Y","Days=T","Dir=V")</f>
        <v>0</v>
      </c>
      <c r="AQ2">
        <f>BDH("INTZ US Equity","PX_LAST","2016-06-30","2021-06-30","Per=M","Days=T","Dir=V")</f>
        <v>0</v>
      </c>
      <c r="AS2">
        <f>BDH("INTZ US Equity","CUR_MKT_CAP","2016-06-30","2021-06-30","Per=M","Days=T","Dir=V")</f>
        <v>0</v>
      </c>
      <c r="AU2">
        <f>BDH("INTZ US Equity","EQY_SH_OUT","2016-06-30","2021-06-30","Per=M","Days=T","Dir=V")</f>
        <v>0</v>
      </c>
      <c r="AW2">
        <f>BDH("INTZ US Equity","BETA_RAW_OVERRIABLE","2016-06-30","2021-06-30","Per=M","Days=T","Dir=V")</f>
        <v>0</v>
      </c>
      <c r="AY2">
        <f>BDH("INTZ US Equity","PX_VOLUME","2016-06-30","2021-06-30","Per=M","Days=T","Dir=V")</f>
        <v>0</v>
      </c>
      <c r="BA2">
        <f>BDH("INTZ US Equity","TURNOVER","2016-06-30","2021-06-30","Per=M","Days=T","Dir=V")</f>
        <v>0</v>
      </c>
      <c r="BC2">
        <f>BDH("INTZ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BDH("MATW US Equity","BS_TOT_ASSET","2016-06-30","2021-06-30","Per=Y","Days=T","Dir=V")</f>
        <v>0</v>
      </c>
      <c r="C2">
        <f>BDH("MATW US Equity","BS_TOT_LIAB2","2016-06-30","2021-06-30","Per=Y","Days=T","Dir=V")</f>
        <v>0</v>
      </c>
      <c r="E2">
        <f>BDH("MATW US Equity","SHORT_AND_LONG_TERM_DEBT","2016-06-30","2021-06-30","Per=Y","Days=T","Dir=V")</f>
        <v>0</v>
      </c>
      <c r="G2">
        <f>BDH("MATW US Equity","BS_ST_BORROW","2016-06-30","2021-06-30","Per=Y","Days=T","Dir=V")</f>
        <v>0</v>
      </c>
      <c r="I2">
        <f>BDH("MATW US Equity","BS_LT_BORROW","2016-06-30","2021-06-30","Per=Y","Days=T","Dir=V")</f>
        <v>0</v>
      </c>
      <c r="K2">
        <f>BDH("MATW US Equity","BS_CASH_NEAR_CASH_ITEM","2016-06-30","2021-06-30","Per=Y","Days=T","Dir=V")</f>
        <v>0</v>
      </c>
      <c r="M2">
        <f>BDH("MATW US Equity","BS_CUR_ASSET_REPORT","2016-06-30","2021-06-30","Per=Y","Days=T","Dir=V")</f>
        <v>0</v>
      </c>
      <c r="O2">
        <f>BDH("MATW US Equity","BS_CUR_LIAB","2016-06-30","2021-06-30","Per=Y","Days=T","Dir=V")</f>
        <v>0</v>
      </c>
      <c r="Q2">
        <f>BDH("MATW US Equity","BS_SHAREHOLDER_EQY_ENDING_PERIOD","2016-06-30","2021-06-30","Per=Y","Days=T","Dir=V")</f>
        <v>0</v>
      </c>
      <c r="S2">
        <f>BDH("MATW US Equity","BS_ACCT_NOTE_RCV","2016-06-30","2021-06-30","Per=Y","Days=T","Dir=V")</f>
        <v>0</v>
      </c>
      <c r="U2">
        <f>BDH("MATW US Equity","BS_INVENTORIES","2016-06-30","2021-06-30","Per=Y","Days=T","Dir=V")</f>
        <v>0</v>
      </c>
      <c r="W2">
        <f>BDH("MATW US Equity","WORKING_CAPITAL","2016-06-30","2021-06-30","Per=Y","Days=T","Dir=V")</f>
        <v>0</v>
      </c>
      <c r="Y2">
        <f>BDH("MATW US Equity","SALES_REV_TURN","2016-06-30","2021-06-30","Per=Y","Days=T","Dir=V")</f>
        <v>0</v>
      </c>
      <c r="AA2">
        <f>BDH("MATW US Equity","EBIT","2016-06-30","2021-06-30","Per=Y","Days=T","Dir=V")</f>
        <v>0</v>
      </c>
      <c r="AC2">
        <f>BDH("MATW US Equity","EBITDA","2016-06-30","2021-06-30","Per=Y","Days=T","Dir=V")</f>
        <v>0</v>
      </c>
      <c r="AE2">
        <f>BDH("MATW US Equity","NET_INCOME","2016-06-30","2021-06-30","Per=Y","Days=T","Dir=V")</f>
        <v>0</v>
      </c>
      <c r="AG2">
        <f>BDH("MATW US Equity","IS_INT_EXPENSE","2016-06-30","2021-06-30","Per=Y","Days=T","Dir=V")</f>
        <v>0</v>
      </c>
      <c r="AI2">
        <f>BDH("MATW US Equity","IS_DEPR_EXP","2016-06-30","2021-06-30","Per=Y","Days=T","Dir=V")</f>
        <v>0</v>
      </c>
      <c r="AK2">
        <f>BDH("MATW US Equity","CF_CASH_FROM_OPER","2016-06-30","2021-06-30","Per=Y","Days=T","Dir=V")</f>
        <v>0</v>
      </c>
      <c r="AM2">
        <f>BDH("MATW US Equity","CAPITAL_EXPEND","2016-06-30","2021-06-30","Per=Y","Days=T","Dir=V")</f>
        <v>0</v>
      </c>
      <c r="AO2">
        <f>BDH("MATW US Equity","CF_FREE_CASH_FLOW","2016-06-30","2021-06-30","Per=Y","Days=T","Dir=V")</f>
        <v>0</v>
      </c>
      <c r="AQ2">
        <f>BDH("MATW US Equity","PX_LAST","2016-06-30","2021-06-30","Per=M","Days=T","Dir=V")</f>
        <v>0</v>
      </c>
      <c r="AS2">
        <f>BDH("MATW US Equity","CUR_MKT_CAP","2016-06-30","2021-06-30","Per=M","Days=T","Dir=V")</f>
        <v>0</v>
      </c>
      <c r="AU2">
        <f>BDH("MATW US Equity","EQY_SH_OUT","2016-06-30","2021-06-30","Per=M","Days=T","Dir=V")</f>
        <v>0</v>
      </c>
      <c r="AW2">
        <f>BDH("MATW US Equity","BETA_RAW_OVERRIABLE","2016-06-30","2021-06-30","Per=M","Days=T","Dir=V")</f>
        <v>0</v>
      </c>
      <c r="AY2">
        <f>BDH("MATW US Equity","PX_VOLUME","2016-06-30","2021-06-30","Per=M","Days=T","Dir=V")</f>
        <v>0</v>
      </c>
      <c r="BA2">
        <f>BDH("MATW US Equity","TURNOVER","2016-06-30","2021-06-30","Per=M","Days=T","Dir=V")</f>
        <v>0</v>
      </c>
      <c r="BC2">
        <f>BDH("MATW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BDH("TMUSI US Equity","BS_TOT_ASSET","2016-06-30","2021-06-30","Per=Y","Days=T","Dir=V")</f>
        <v>0</v>
      </c>
      <c r="C2">
        <f>BDH("TMUSI US Equity","BS_TOT_LIAB2","2016-06-30","2021-06-30","Per=Y","Days=T","Dir=V")</f>
        <v>0</v>
      </c>
      <c r="E2">
        <f>BDH("TMUSI US Equity","SHORT_AND_LONG_TERM_DEBT","2016-06-30","2021-06-30","Per=Y","Days=T","Dir=V")</f>
        <v>0</v>
      </c>
      <c r="G2">
        <f>BDH("TMUSI US Equity","BS_ST_BORROW","2016-06-30","2021-06-30","Per=Y","Days=T","Dir=V")</f>
        <v>0</v>
      </c>
      <c r="I2">
        <f>BDH("TMUSI US Equity","BS_LT_BORROW","2016-06-30","2021-06-30","Per=Y","Days=T","Dir=V")</f>
        <v>0</v>
      </c>
      <c r="K2">
        <f>BDH("TMUSI US Equity","BS_CASH_NEAR_CASH_ITEM","2016-06-30","2021-06-30","Per=Y","Days=T","Dir=V")</f>
        <v>0</v>
      </c>
      <c r="M2">
        <f>BDH("TMUSI US Equity","BS_CUR_ASSET_REPORT","2016-06-30","2021-06-30","Per=Y","Days=T","Dir=V")</f>
        <v>0</v>
      </c>
      <c r="O2">
        <f>BDH("TMUSI US Equity","BS_CUR_LIAB","2016-06-30","2021-06-30","Per=Y","Days=T","Dir=V")</f>
        <v>0</v>
      </c>
      <c r="Q2">
        <f>BDH("TMUSI US Equity","BS_SHAREHOLDER_EQY_ENDING_PERIOD","2016-06-30","2021-06-30","Per=Y","Days=T","Dir=V")</f>
        <v>0</v>
      </c>
      <c r="S2">
        <f>BDH("TMUSI US Equity","BS_ACCT_NOTE_RCV","2016-06-30","2021-06-30","Per=Y","Days=T","Dir=V")</f>
        <v>0</v>
      </c>
      <c r="U2">
        <f>BDH("TMUSI US Equity","BS_INVENTORIES","2016-06-30","2021-06-30","Per=Y","Days=T","Dir=V")</f>
        <v>0</v>
      </c>
      <c r="W2">
        <f>BDH("TMUSI US Equity","WORKING_CAPITAL","2016-06-30","2021-06-30","Per=Y","Days=T","Dir=V")</f>
        <v>0</v>
      </c>
      <c r="Y2">
        <f>BDH("TMUSI US Equity","SALES_REV_TURN","2016-06-30","2021-06-30","Per=Y","Days=T","Dir=V")</f>
        <v>0</v>
      </c>
      <c r="AA2">
        <f>BDH("TMUSI US Equity","EBIT","2016-06-30","2021-06-30","Per=Y","Days=T","Dir=V")</f>
        <v>0</v>
      </c>
      <c r="AC2">
        <f>BDH("TMUSI US Equity","EBITDA","2016-06-30","2021-06-30","Per=Y","Days=T","Dir=V")</f>
        <v>0</v>
      </c>
      <c r="AE2">
        <f>BDH("TMUSI US Equity","NET_INCOME","2016-06-30","2021-06-30","Per=Y","Days=T","Dir=V")</f>
        <v>0</v>
      </c>
      <c r="AG2">
        <f>BDH("TMUSI US Equity","IS_INT_EXPENSE","2016-06-30","2021-06-30","Per=Y","Days=T","Dir=V")</f>
        <v>0</v>
      </c>
      <c r="AI2">
        <f>BDH("TMUSI US Equity","IS_DEPR_EXP","2016-06-30","2021-06-30","Per=Y","Days=T","Dir=V")</f>
        <v>0</v>
      </c>
      <c r="AK2">
        <f>BDH("TMUSI US Equity","CF_CASH_FROM_OPER","2016-06-30","2021-06-30","Per=Y","Days=T","Dir=V")</f>
        <v>0</v>
      </c>
      <c r="AM2">
        <f>BDH("TMUSI US Equity","CAPITAL_EXPEND","2016-06-30","2021-06-30","Per=Y","Days=T","Dir=V")</f>
        <v>0</v>
      </c>
      <c r="AO2">
        <f>BDH("TMUSI US Equity","CF_FREE_CASH_FLOW","2016-06-30","2021-06-30","Per=Y","Days=T","Dir=V")</f>
        <v>0</v>
      </c>
      <c r="AQ2">
        <f>BDH("TMUSI US Equity","PX_LAST","2016-06-30","2021-06-30","Per=M","Days=T","Dir=V")</f>
        <v>0</v>
      </c>
      <c r="AS2">
        <f>BDH("TMUSI US Equity","CUR_MKT_CAP","2016-06-30","2021-06-30","Per=M","Days=T","Dir=V")</f>
        <v>0</v>
      </c>
      <c r="AU2">
        <f>BDH("TMUSI US Equity","EQY_SH_OUT","2016-06-30","2021-06-30","Per=M","Days=T","Dir=V")</f>
        <v>0</v>
      </c>
      <c r="AW2">
        <f>BDH("TMUSI US Equity","BETA_RAW_OVERRIABLE","2016-06-30","2021-06-30","Per=M","Days=T","Dir=V")</f>
        <v>0</v>
      </c>
      <c r="AY2">
        <f>BDH("TMUSI US Equity","PX_VOLUME","2016-06-30","2021-06-30","Per=M","Days=T","Dir=V")</f>
        <v>0</v>
      </c>
      <c r="BA2">
        <f>BDH("TMUSI US Equity","TURNOVER","2016-06-30","2021-06-30","Per=M","Days=T","Dir=V")</f>
        <v>0</v>
      </c>
      <c r="BC2">
        <f>BDH("TMUSI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BDH("AEP US Equity","BS_TOT_ASSET","2016-06-30","2021-06-30","Per=Y","Days=T","Dir=V")</f>
        <v>0</v>
      </c>
      <c r="C2">
        <f>BDH("AEP US Equity","BS_TOT_LIAB2","2016-06-30","2021-06-30","Per=Y","Days=T","Dir=V")</f>
        <v>0</v>
      </c>
      <c r="E2">
        <f>BDH("AEP US Equity","SHORT_AND_LONG_TERM_DEBT","2016-06-30","2021-06-30","Per=Y","Days=T","Dir=V")</f>
        <v>0</v>
      </c>
      <c r="G2">
        <f>BDH("AEP US Equity","BS_ST_BORROW","2016-06-30","2021-06-30","Per=Y","Days=T","Dir=V")</f>
        <v>0</v>
      </c>
      <c r="I2">
        <f>BDH("AEP US Equity","BS_LT_BORROW","2016-06-30","2021-06-30","Per=Y","Days=T","Dir=V")</f>
        <v>0</v>
      </c>
      <c r="K2">
        <f>BDH("AEP US Equity","BS_CASH_NEAR_CASH_ITEM","2016-06-30","2021-06-30","Per=Y","Days=T","Dir=V")</f>
        <v>0</v>
      </c>
      <c r="M2">
        <f>BDH("AEP US Equity","BS_CUR_ASSET_REPORT","2016-06-30","2021-06-30","Per=Y","Days=T","Dir=V")</f>
        <v>0</v>
      </c>
      <c r="O2">
        <f>BDH("AEP US Equity","BS_CUR_LIAB","2016-06-30","2021-06-30","Per=Y","Days=T","Dir=V")</f>
        <v>0</v>
      </c>
      <c r="Q2">
        <f>BDH("AEP US Equity","BS_SHAREHOLDER_EQY_ENDING_PERIOD","2016-06-30","2021-06-30","Per=Y","Days=T","Dir=V")</f>
        <v>0</v>
      </c>
      <c r="S2">
        <f>BDH("AEP US Equity","BS_ACCT_NOTE_RCV","2016-06-30","2021-06-30","Per=Y","Days=T","Dir=V")</f>
        <v>0</v>
      </c>
      <c r="U2">
        <f>BDH("AEP US Equity","BS_INVENTORIES","2016-06-30","2021-06-30","Per=Y","Days=T","Dir=V")</f>
        <v>0</v>
      </c>
      <c r="W2">
        <f>BDH("AEP US Equity","WORKING_CAPITAL","2016-06-30","2021-06-30","Per=Y","Days=T","Dir=V")</f>
        <v>0</v>
      </c>
      <c r="Y2">
        <f>BDH("AEP US Equity","SALES_REV_TURN","2016-06-30","2021-06-30","Per=Y","Days=T","Dir=V")</f>
        <v>0</v>
      </c>
      <c r="AA2">
        <f>BDH("AEP US Equity","EBIT","2016-06-30","2021-06-30","Per=Y","Days=T","Dir=V")</f>
        <v>0</v>
      </c>
      <c r="AC2">
        <f>BDH("AEP US Equity","EBITDA","2016-06-30","2021-06-30","Per=Y","Days=T","Dir=V")</f>
        <v>0</v>
      </c>
      <c r="AE2">
        <f>BDH("AEP US Equity","NET_INCOME","2016-06-30","2021-06-30","Per=Y","Days=T","Dir=V")</f>
        <v>0</v>
      </c>
      <c r="AG2">
        <f>BDH("AEP US Equity","IS_INT_EXPENSE","2016-06-30","2021-06-30","Per=Y","Days=T","Dir=V")</f>
        <v>0</v>
      </c>
      <c r="AI2">
        <f>BDH("AEP US Equity","IS_DEPR_EXP","2016-06-30","2021-06-30","Per=Y","Days=T","Dir=V")</f>
        <v>0</v>
      </c>
      <c r="AK2">
        <f>BDH("AEP US Equity","CF_CASH_FROM_OPER","2016-06-30","2021-06-30","Per=Y","Days=T","Dir=V")</f>
        <v>0</v>
      </c>
      <c r="AM2">
        <f>BDH("AEP US Equity","CAPITAL_EXPEND","2016-06-30","2021-06-30","Per=Y","Days=T","Dir=V")</f>
        <v>0</v>
      </c>
      <c r="AO2">
        <f>BDH("AEP US Equity","CF_FREE_CASH_FLOW","2016-06-30","2021-06-30","Per=Y","Days=T","Dir=V")</f>
        <v>0</v>
      </c>
      <c r="AQ2">
        <f>BDH("AEP US Equity","PX_LAST","2016-06-30","2021-06-30","Per=M","Days=T","Dir=V")</f>
        <v>0</v>
      </c>
      <c r="AS2">
        <f>BDH("AEP US Equity","CUR_MKT_CAP","2016-06-30","2021-06-30","Per=M","Days=T","Dir=V")</f>
        <v>0</v>
      </c>
      <c r="AU2">
        <f>BDH("AEP US Equity","EQY_SH_OUT","2016-06-30","2021-06-30","Per=M","Days=T","Dir=V")</f>
        <v>0</v>
      </c>
      <c r="AW2">
        <f>BDH("AEP US Equity","BETA_RAW_OVERRIABLE","2016-06-30","2021-06-30","Per=M","Days=T","Dir=V")</f>
        <v>0</v>
      </c>
      <c r="AY2">
        <f>BDH("AEP US Equity","PX_VOLUME","2016-06-30","2021-06-30","Per=M","Days=T","Dir=V")</f>
        <v>0</v>
      </c>
      <c r="BA2">
        <f>BDH("AEP US Equity","TURNOVER","2016-06-30","2021-06-30","Per=M","Days=T","Dir=V")</f>
        <v>0</v>
      </c>
      <c r="BC2">
        <f>BDH("AEP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BDH("CEG US Equity","BS_TOT_ASSET","2016-06-30","2021-06-30","Per=Y","Days=T","Dir=V")</f>
        <v>0</v>
      </c>
      <c r="C2">
        <f>BDH("CEG US Equity","BS_TOT_LIAB2","2016-06-30","2021-06-30","Per=Y","Days=T","Dir=V")</f>
        <v>0</v>
      </c>
      <c r="E2">
        <f>BDH("CEG US Equity","SHORT_AND_LONG_TERM_DEBT","2016-06-30","2021-06-30","Per=Y","Days=T","Dir=V")</f>
        <v>0</v>
      </c>
      <c r="G2">
        <f>BDH("CEG US Equity","BS_ST_BORROW","2016-06-30","2021-06-30","Per=Y","Days=T","Dir=V")</f>
        <v>0</v>
      </c>
      <c r="I2">
        <f>BDH("CEG US Equity","BS_LT_BORROW","2016-06-30","2021-06-30","Per=Y","Days=T","Dir=V")</f>
        <v>0</v>
      </c>
      <c r="K2">
        <f>BDH("CEG US Equity","BS_CASH_NEAR_CASH_ITEM","2016-06-30","2021-06-30","Per=Y","Days=T","Dir=V")</f>
        <v>0</v>
      </c>
      <c r="M2">
        <f>BDH("CEG US Equity","BS_CUR_ASSET_REPORT","2016-06-30","2021-06-30","Per=Y","Days=T","Dir=V")</f>
        <v>0</v>
      </c>
      <c r="O2">
        <f>BDH("CEG US Equity","BS_CUR_LIAB","2016-06-30","2021-06-30","Per=Y","Days=T","Dir=V")</f>
        <v>0</v>
      </c>
      <c r="Q2">
        <f>BDH("CEG US Equity","BS_SHAREHOLDER_EQY_ENDING_PERIOD","2016-06-30","2021-06-30","Per=Y","Days=T","Dir=V")</f>
        <v>0</v>
      </c>
      <c r="S2">
        <f>BDH("CEG US Equity","BS_ACCT_NOTE_RCV","2016-06-30","2021-06-30","Per=Y","Days=T","Dir=V")</f>
        <v>0</v>
      </c>
      <c r="U2">
        <f>BDH("CEG US Equity","BS_INVENTORIES","2016-06-30","2021-06-30","Per=Y","Days=T","Dir=V")</f>
        <v>0</v>
      </c>
      <c r="W2">
        <f>BDH("CEG US Equity","WORKING_CAPITAL","2016-06-30","2021-06-30","Per=Y","Days=T","Dir=V")</f>
        <v>0</v>
      </c>
      <c r="Y2">
        <f>BDH("CEG US Equity","SALES_REV_TURN","2016-06-30","2021-06-30","Per=Y","Days=T","Dir=V")</f>
        <v>0</v>
      </c>
      <c r="AA2">
        <f>BDH("CEG US Equity","EBIT","2016-06-30","2021-06-30","Per=Y","Days=T","Dir=V")</f>
        <v>0</v>
      </c>
      <c r="AC2">
        <f>BDH("CEG US Equity","EBITDA","2016-06-30","2021-06-30","Per=Y","Days=T","Dir=V")</f>
        <v>0</v>
      </c>
      <c r="AE2">
        <f>BDH("CEG US Equity","NET_INCOME","2016-06-30","2021-06-30","Per=Y","Days=T","Dir=V")</f>
        <v>0</v>
      </c>
      <c r="AG2">
        <f>BDH("CEG US Equity","IS_INT_EXPENSE","2016-06-30","2021-06-30","Per=Y","Days=T","Dir=V")</f>
        <v>0</v>
      </c>
      <c r="AI2">
        <f>BDH("CEG US Equity","IS_DEPR_EXP","2016-06-30","2021-06-30","Per=Y","Days=T","Dir=V")</f>
        <v>0</v>
      </c>
      <c r="AK2">
        <f>BDH("CEG US Equity","CF_CASH_FROM_OPER","2016-06-30","2021-06-30","Per=Y","Days=T","Dir=V")</f>
        <v>0</v>
      </c>
      <c r="AM2">
        <f>BDH("CEG US Equity","CAPITAL_EXPEND","2016-06-30","2021-06-30","Per=Y","Days=T","Dir=V")</f>
        <v>0</v>
      </c>
      <c r="AO2">
        <f>BDH("CEG US Equity","CF_FREE_CASH_FLOW","2016-06-30","2021-06-30","Per=Y","Days=T","Dir=V")</f>
        <v>0</v>
      </c>
      <c r="AQ2">
        <f>BDH("CEG US Equity","PX_LAST","2016-06-30","2021-06-30","Per=M","Days=T","Dir=V")</f>
        <v>0</v>
      </c>
      <c r="AS2">
        <f>BDH("CEG US Equity","CUR_MKT_CAP","2016-06-30","2021-06-30","Per=M","Days=T","Dir=V")</f>
        <v>0</v>
      </c>
      <c r="AU2">
        <f>BDH("CEG US Equity","EQY_SH_OUT","2016-06-30","2021-06-30","Per=M","Days=T","Dir=V")</f>
        <v>0</v>
      </c>
      <c r="AW2">
        <f>BDH("CEG US Equity","BETA_RAW_OVERRIABLE","2016-06-30","2021-06-30","Per=M","Days=T","Dir=V")</f>
        <v>0</v>
      </c>
      <c r="AY2">
        <f>BDH("CEG US Equity","PX_VOLUME","2016-06-30","2021-06-30","Per=M","Days=T","Dir=V")</f>
        <v>0</v>
      </c>
      <c r="BA2">
        <f>BDH("CEG US Equity","TURNOVER","2016-06-30","2021-06-30","Per=M","Days=T","Dir=V")</f>
        <v>0</v>
      </c>
      <c r="BC2">
        <f>BDH("CEG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BDH("NNE US Equity","BS_TOT_ASSET","2016-06-30","2021-06-30","Per=Y","Days=T","Dir=V")</f>
        <v>0</v>
      </c>
      <c r="C2">
        <f>BDH("NNE US Equity","BS_TOT_LIAB2","2016-06-30","2021-06-30","Per=Y","Days=T","Dir=V")</f>
        <v>0</v>
      </c>
      <c r="E2">
        <f>BDH("NNE US Equity","SHORT_AND_LONG_TERM_DEBT","2016-06-30","2021-06-30","Per=Y","Days=T","Dir=V")</f>
        <v>0</v>
      </c>
      <c r="G2">
        <f>BDH("NNE US Equity","BS_ST_BORROW","2016-06-30","2021-06-30","Per=Y","Days=T","Dir=V")</f>
        <v>0</v>
      </c>
      <c r="I2">
        <f>BDH("NNE US Equity","BS_LT_BORROW","2016-06-30","2021-06-30","Per=Y","Days=T","Dir=V")</f>
        <v>0</v>
      </c>
      <c r="K2">
        <f>BDH("NNE US Equity","BS_CASH_NEAR_CASH_ITEM","2016-06-30","2021-06-30","Per=Y","Days=T","Dir=V")</f>
        <v>0</v>
      </c>
      <c r="M2">
        <f>BDH("NNE US Equity","BS_CUR_ASSET_REPORT","2016-06-30","2021-06-30","Per=Y","Days=T","Dir=V")</f>
        <v>0</v>
      </c>
      <c r="O2">
        <f>BDH("NNE US Equity","BS_CUR_LIAB","2016-06-30","2021-06-30","Per=Y","Days=T","Dir=V")</f>
        <v>0</v>
      </c>
      <c r="Q2">
        <f>BDH("NNE US Equity","BS_SHAREHOLDER_EQY_ENDING_PERIOD","2016-06-30","2021-06-30","Per=Y","Days=T","Dir=V")</f>
        <v>0</v>
      </c>
      <c r="S2">
        <f>BDH("NNE US Equity","BS_ACCT_NOTE_RCV","2016-06-30","2021-06-30","Per=Y","Days=T","Dir=V")</f>
        <v>0</v>
      </c>
      <c r="U2">
        <f>BDH("NNE US Equity","BS_INVENTORIES","2016-06-30","2021-06-30","Per=Y","Days=T","Dir=V")</f>
        <v>0</v>
      </c>
      <c r="W2">
        <f>BDH("NNE US Equity","WORKING_CAPITAL","2016-06-30","2021-06-30","Per=Y","Days=T","Dir=V")</f>
        <v>0</v>
      </c>
      <c r="Y2">
        <f>BDH("NNE US Equity","SALES_REV_TURN","2016-06-30","2021-06-30","Per=Y","Days=T","Dir=V")</f>
        <v>0</v>
      </c>
      <c r="AA2">
        <f>BDH("NNE US Equity","EBIT","2016-06-30","2021-06-30","Per=Y","Days=T","Dir=V")</f>
        <v>0</v>
      </c>
      <c r="AC2">
        <f>BDH("NNE US Equity","EBITDA","2016-06-30","2021-06-30","Per=Y","Days=T","Dir=V")</f>
        <v>0</v>
      </c>
      <c r="AE2">
        <f>BDH("NNE US Equity","NET_INCOME","2016-06-30","2021-06-30","Per=Y","Days=T","Dir=V")</f>
        <v>0</v>
      </c>
      <c r="AG2">
        <f>BDH("NNE US Equity","IS_INT_EXPENSE","2016-06-30","2021-06-30","Per=Y","Days=T","Dir=V")</f>
        <v>0</v>
      </c>
      <c r="AI2">
        <f>BDH("NNE US Equity","IS_DEPR_EXP","2016-06-30","2021-06-30","Per=Y","Days=T","Dir=V")</f>
        <v>0</v>
      </c>
      <c r="AK2">
        <f>BDH("NNE US Equity","CF_CASH_FROM_OPER","2016-06-30","2021-06-30","Per=Y","Days=T","Dir=V")</f>
        <v>0</v>
      </c>
      <c r="AM2">
        <f>BDH("NNE US Equity","CAPITAL_EXPEND","2016-06-30","2021-06-30","Per=Y","Days=T","Dir=V")</f>
        <v>0</v>
      </c>
      <c r="AO2">
        <f>BDH("NNE US Equity","CF_FREE_CASH_FLOW","2016-06-30","2021-06-30","Per=Y","Days=T","Dir=V")</f>
        <v>0</v>
      </c>
      <c r="AQ2">
        <f>BDH("NNE US Equity","PX_LAST","2016-06-30","2021-06-30","Per=M","Days=T","Dir=V")</f>
        <v>0</v>
      </c>
      <c r="AS2">
        <f>BDH("NNE US Equity","CUR_MKT_CAP","2016-06-30","2021-06-30","Per=M","Days=T","Dir=V")</f>
        <v>0</v>
      </c>
      <c r="AU2">
        <f>BDH("NNE US Equity","EQY_SH_OUT","2016-06-30","2021-06-30","Per=M","Days=T","Dir=V")</f>
        <v>0</v>
      </c>
      <c r="AW2">
        <f>BDH("NNE US Equity","BETA_RAW_OVERRIABLE","2016-06-30","2021-06-30","Per=M","Days=T","Dir=V")</f>
        <v>0</v>
      </c>
      <c r="AY2">
        <f>BDH("NNE US Equity","PX_VOLUME","2016-06-30","2021-06-30","Per=M","Days=T","Dir=V")</f>
        <v>0</v>
      </c>
      <c r="BA2">
        <f>BDH("NNE US Equity","TURNOVER","2016-06-30","2021-06-30","Per=M","Days=T","Dir=V")</f>
        <v>0</v>
      </c>
      <c r="BC2">
        <f>BDH("NNE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BDH("AWX US Equity","BS_TOT_ASSET","2016-06-30","2021-06-30","Per=Y","Days=T","Dir=V")</f>
        <v>0</v>
      </c>
      <c r="C2">
        <f>BDH("AWX US Equity","BS_TOT_LIAB2","2016-06-30","2021-06-30","Per=Y","Days=T","Dir=V")</f>
        <v>0</v>
      </c>
      <c r="E2">
        <f>BDH("AWX US Equity","SHORT_AND_LONG_TERM_DEBT","2016-06-30","2021-06-30","Per=Y","Days=T","Dir=V")</f>
        <v>0</v>
      </c>
      <c r="G2">
        <f>BDH("AWX US Equity","BS_ST_BORROW","2016-06-30","2021-06-30","Per=Y","Days=T","Dir=V")</f>
        <v>0</v>
      </c>
      <c r="I2">
        <f>BDH("AWX US Equity","BS_LT_BORROW","2016-06-30","2021-06-30","Per=Y","Days=T","Dir=V")</f>
        <v>0</v>
      </c>
      <c r="K2">
        <f>BDH("AWX US Equity","BS_CASH_NEAR_CASH_ITEM","2016-06-30","2021-06-30","Per=Y","Days=T","Dir=V")</f>
        <v>0</v>
      </c>
      <c r="M2">
        <f>BDH("AWX US Equity","BS_CUR_ASSET_REPORT","2016-06-30","2021-06-30","Per=Y","Days=T","Dir=V")</f>
        <v>0</v>
      </c>
      <c r="O2">
        <f>BDH("AWX US Equity","BS_CUR_LIAB","2016-06-30","2021-06-30","Per=Y","Days=T","Dir=V")</f>
        <v>0</v>
      </c>
      <c r="Q2">
        <f>BDH("AWX US Equity","BS_SHAREHOLDER_EQY_ENDING_PERIOD","2016-06-30","2021-06-30","Per=Y","Days=T","Dir=V")</f>
        <v>0</v>
      </c>
      <c r="S2">
        <f>BDH("AWX US Equity","BS_ACCT_NOTE_RCV","2016-06-30","2021-06-30","Per=Y","Days=T","Dir=V")</f>
        <v>0</v>
      </c>
      <c r="U2">
        <f>BDH("AWX US Equity","BS_INVENTORIES","2016-06-30","2021-06-30","Per=Y","Days=T","Dir=V")</f>
        <v>0</v>
      </c>
      <c r="W2">
        <f>BDH("AWX US Equity","WORKING_CAPITAL","2016-06-30","2021-06-30","Per=Y","Days=T","Dir=V")</f>
        <v>0</v>
      </c>
      <c r="Y2">
        <f>BDH("AWX US Equity","SALES_REV_TURN","2016-06-30","2021-06-30","Per=Y","Days=T","Dir=V")</f>
        <v>0</v>
      </c>
      <c r="AA2">
        <f>BDH("AWX US Equity","EBIT","2016-06-30","2021-06-30","Per=Y","Days=T","Dir=V")</f>
        <v>0</v>
      </c>
      <c r="AC2">
        <f>BDH("AWX US Equity","EBITDA","2016-06-30","2021-06-30","Per=Y","Days=T","Dir=V")</f>
        <v>0</v>
      </c>
      <c r="AE2">
        <f>BDH("AWX US Equity","NET_INCOME","2016-06-30","2021-06-30","Per=Y","Days=T","Dir=V")</f>
        <v>0</v>
      </c>
      <c r="AG2">
        <f>BDH("AWX US Equity","IS_INT_EXPENSE","2016-06-30","2021-06-30","Per=Y","Days=T","Dir=V")</f>
        <v>0</v>
      </c>
      <c r="AI2">
        <f>BDH("AWX US Equity","IS_DEPR_EXP","2016-06-30","2021-06-30","Per=Y","Days=T","Dir=V")</f>
        <v>0</v>
      </c>
      <c r="AK2">
        <f>BDH("AWX US Equity","CF_CASH_FROM_OPER","2016-06-30","2021-06-30","Per=Y","Days=T","Dir=V")</f>
        <v>0</v>
      </c>
      <c r="AM2">
        <f>BDH("AWX US Equity","CAPITAL_EXPEND","2016-06-30","2021-06-30","Per=Y","Days=T","Dir=V")</f>
        <v>0</v>
      </c>
      <c r="AO2">
        <f>BDH("AWX US Equity","CF_FREE_CASH_FLOW","2016-06-30","2021-06-30","Per=Y","Days=T","Dir=V")</f>
        <v>0</v>
      </c>
      <c r="AQ2">
        <f>BDH("AWX US Equity","PX_LAST","2016-06-30","2021-06-30","Per=M","Days=T","Dir=V")</f>
        <v>0</v>
      </c>
      <c r="AS2">
        <f>BDH("AWX US Equity","CUR_MKT_CAP","2016-06-30","2021-06-30","Per=M","Days=T","Dir=V")</f>
        <v>0</v>
      </c>
      <c r="AU2">
        <f>BDH("AWX US Equity","EQY_SH_OUT","2016-06-30","2021-06-30","Per=M","Days=T","Dir=V")</f>
        <v>0</v>
      </c>
      <c r="AW2">
        <f>BDH("AWX US Equity","BETA_RAW_OVERRIABLE","2016-06-30","2021-06-30","Per=M","Days=T","Dir=V")</f>
        <v>0</v>
      </c>
      <c r="AY2">
        <f>BDH("AWX US Equity","PX_VOLUME","2016-06-30","2021-06-30","Per=M","Days=T","Dir=V")</f>
        <v>0</v>
      </c>
      <c r="BA2">
        <f>BDH("AWX US Equity","TURNOVER","2016-06-30","2021-06-30","Per=M","Days=T","Dir=V")</f>
        <v>0</v>
      </c>
      <c r="BC2">
        <f>BDH("AWX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BDH("AM US Equity","BS_TOT_ASSET","2016-06-30","2021-06-30","Per=Y","Days=T","Dir=V")</f>
        <v>0</v>
      </c>
      <c r="C2">
        <f>BDH("AM US Equity","BS_TOT_LIAB2","2016-06-30","2021-06-30","Per=Y","Days=T","Dir=V")</f>
        <v>0</v>
      </c>
      <c r="E2">
        <f>BDH("AM US Equity","SHORT_AND_LONG_TERM_DEBT","2016-06-30","2021-06-30","Per=Y","Days=T","Dir=V")</f>
        <v>0</v>
      </c>
      <c r="G2">
        <f>BDH("AM US Equity","BS_ST_BORROW","2016-06-30","2021-06-30","Per=Y","Days=T","Dir=V")</f>
        <v>0</v>
      </c>
      <c r="I2">
        <f>BDH("AM US Equity","BS_LT_BORROW","2016-06-30","2021-06-30","Per=Y","Days=T","Dir=V")</f>
        <v>0</v>
      </c>
      <c r="K2">
        <f>BDH("AM US Equity","BS_CASH_NEAR_CASH_ITEM","2016-06-30","2021-06-30","Per=Y","Days=T","Dir=V")</f>
        <v>0</v>
      </c>
      <c r="M2">
        <f>BDH("AM US Equity","BS_CUR_ASSET_REPORT","2016-06-30","2021-06-30","Per=Y","Days=T","Dir=V")</f>
        <v>0</v>
      </c>
      <c r="O2">
        <f>BDH("AM US Equity","BS_CUR_LIAB","2016-06-30","2021-06-30","Per=Y","Days=T","Dir=V")</f>
        <v>0</v>
      </c>
      <c r="Q2">
        <f>BDH("AM US Equity","BS_SHAREHOLDER_EQY_ENDING_PERIOD","2016-06-30","2021-06-30","Per=Y","Days=T","Dir=V")</f>
        <v>0</v>
      </c>
      <c r="S2">
        <f>BDH("AM US Equity","BS_ACCT_NOTE_RCV","2016-06-30","2021-06-30","Per=Y","Days=T","Dir=V")</f>
        <v>0</v>
      </c>
      <c r="U2">
        <f>BDH("AM US Equity","BS_INVENTORIES","2016-06-30","2021-06-30","Per=Y","Days=T","Dir=V")</f>
        <v>0</v>
      </c>
      <c r="W2">
        <f>BDH("AM US Equity","WORKING_CAPITAL","2016-06-30","2021-06-30","Per=Y","Days=T","Dir=V")</f>
        <v>0</v>
      </c>
      <c r="Y2">
        <f>BDH("AM US Equity","SALES_REV_TURN","2016-06-30","2021-06-30","Per=Y","Days=T","Dir=V")</f>
        <v>0</v>
      </c>
      <c r="AA2">
        <f>BDH("AM US Equity","EBIT","2016-06-30","2021-06-30","Per=Y","Days=T","Dir=V")</f>
        <v>0</v>
      </c>
      <c r="AC2">
        <f>BDH("AM US Equity","EBITDA","2016-06-30","2021-06-30","Per=Y","Days=T","Dir=V")</f>
        <v>0</v>
      </c>
      <c r="AE2">
        <f>BDH("AM US Equity","NET_INCOME","2016-06-30","2021-06-30","Per=Y","Days=T","Dir=V")</f>
        <v>0</v>
      </c>
      <c r="AG2">
        <f>BDH("AM US Equity","IS_INT_EXPENSE","2016-06-30","2021-06-30","Per=Y","Days=T","Dir=V")</f>
        <v>0</v>
      </c>
      <c r="AI2">
        <f>BDH("AM US Equity","IS_DEPR_EXP","2016-06-30","2021-06-30","Per=Y","Days=T","Dir=V")</f>
        <v>0</v>
      </c>
      <c r="AK2">
        <f>BDH("AM US Equity","CF_CASH_FROM_OPER","2016-06-30","2021-06-30","Per=Y","Days=T","Dir=V")</f>
        <v>0</v>
      </c>
      <c r="AM2">
        <f>BDH("AM US Equity","CAPITAL_EXPEND","2016-06-30","2021-06-30","Per=Y","Days=T","Dir=V")</f>
        <v>0</v>
      </c>
      <c r="AO2">
        <f>BDH("AM US Equity","CF_FREE_CASH_FLOW","2016-06-30","2021-06-30","Per=Y","Days=T","Dir=V")</f>
        <v>0</v>
      </c>
      <c r="AQ2">
        <f>BDH("AM US Equity","PX_LAST","2016-06-30","2021-06-30","Per=M","Days=T","Dir=V")</f>
        <v>0</v>
      </c>
      <c r="AS2">
        <f>BDH("AM US Equity","CUR_MKT_CAP","2016-06-30","2021-06-30","Per=M","Days=T","Dir=V")</f>
        <v>0</v>
      </c>
      <c r="AU2">
        <f>BDH("AM US Equity","EQY_SH_OUT","2016-06-30","2021-06-30","Per=M","Days=T","Dir=V")</f>
        <v>0</v>
      </c>
      <c r="AW2">
        <f>BDH("AM US Equity","BETA_RAW_OVERRIABLE","2016-06-30","2021-06-30","Per=M","Days=T","Dir=V")</f>
        <v>0</v>
      </c>
      <c r="AY2">
        <f>BDH("AM US Equity","PX_VOLUME","2016-06-30","2021-06-30","Per=M","Days=T","Dir=V")</f>
        <v>0</v>
      </c>
      <c r="BA2">
        <f>BDH("AM US Equity","TURNOVER","2016-06-30","2021-06-30","Per=M","Days=T","Dir=V")</f>
        <v>0</v>
      </c>
      <c r="BC2">
        <f>BDH("AM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BDH("CPK US Equity","BS_TOT_ASSET","2016-06-30","2021-06-30","Per=Y","Days=T","Dir=V")</f>
        <v>0</v>
      </c>
      <c r="C2">
        <f>BDH("CPK US Equity","BS_TOT_LIAB2","2016-06-30","2021-06-30","Per=Y","Days=T","Dir=V")</f>
        <v>0</v>
      </c>
      <c r="E2">
        <f>BDH("CPK US Equity","SHORT_AND_LONG_TERM_DEBT","2016-06-30","2021-06-30","Per=Y","Days=T","Dir=V")</f>
        <v>0</v>
      </c>
      <c r="G2">
        <f>BDH("CPK US Equity","BS_ST_BORROW","2016-06-30","2021-06-30","Per=Y","Days=T","Dir=V")</f>
        <v>0</v>
      </c>
      <c r="I2">
        <f>BDH("CPK US Equity","BS_LT_BORROW","2016-06-30","2021-06-30","Per=Y","Days=T","Dir=V")</f>
        <v>0</v>
      </c>
      <c r="K2">
        <f>BDH("CPK US Equity","BS_CASH_NEAR_CASH_ITEM","2016-06-30","2021-06-30","Per=Y","Days=T","Dir=V")</f>
        <v>0</v>
      </c>
      <c r="M2">
        <f>BDH("CPK US Equity","BS_CUR_ASSET_REPORT","2016-06-30","2021-06-30","Per=Y","Days=T","Dir=V")</f>
        <v>0</v>
      </c>
      <c r="O2">
        <f>BDH("CPK US Equity","BS_CUR_LIAB","2016-06-30","2021-06-30","Per=Y","Days=T","Dir=V")</f>
        <v>0</v>
      </c>
      <c r="Q2">
        <f>BDH("CPK US Equity","BS_SHAREHOLDER_EQY_ENDING_PERIOD","2016-06-30","2021-06-30","Per=Y","Days=T","Dir=V")</f>
        <v>0</v>
      </c>
      <c r="S2">
        <f>BDH("CPK US Equity","BS_ACCT_NOTE_RCV","2016-06-30","2021-06-30","Per=Y","Days=T","Dir=V")</f>
        <v>0</v>
      </c>
      <c r="U2">
        <f>BDH("CPK US Equity","BS_INVENTORIES","2016-06-30","2021-06-30","Per=Y","Days=T","Dir=V")</f>
        <v>0</v>
      </c>
      <c r="W2">
        <f>BDH("CPK US Equity","WORKING_CAPITAL","2016-06-30","2021-06-30","Per=Y","Days=T","Dir=V")</f>
        <v>0</v>
      </c>
      <c r="Y2">
        <f>BDH("CPK US Equity","SALES_REV_TURN","2016-06-30","2021-06-30","Per=Y","Days=T","Dir=V")</f>
        <v>0</v>
      </c>
      <c r="AA2">
        <f>BDH("CPK US Equity","EBIT","2016-06-30","2021-06-30","Per=Y","Days=T","Dir=V")</f>
        <v>0</v>
      </c>
      <c r="AC2">
        <f>BDH("CPK US Equity","EBITDA","2016-06-30","2021-06-30","Per=Y","Days=T","Dir=V")</f>
        <v>0</v>
      </c>
      <c r="AE2">
        <f>BDH("CPK US Equity","NET_INCOME","2016-06-30","2021-06-30","Per=Y","Days=T","Dir=V")</f>
        <v>0</v>
      </c>
      <c r="AG2">
        <f>BDH("CPK US Equity","IS_INT_EXPENSE","2016-06-30","2021-06-30","Per=Y","Days=T","Dir=V")</f>
        <v>0</v>
      </c>
      <c r="AI2">
        <f>BDH("CPK US Equity","IS_DEPR_EXP","2016-06-30","2021-06-30","Per=Y","Days=T","Dir=V")</f>
        <v>0</v>
      </c>
      <c r="AK2">
        <f>BDH("CPK US Equity","CF_CASH_FROM_OPER","2016-06-30","2021-06-30","Per=Y","Days=T","Dir=V")</f>
        <v>0</v>
      </c>
      <c r="AM2">
        <f>BDH("CPK US Equity","CAPITAL_EXPEND","2016-06-30","2021-06-30","Per=Y","Days=T","Dir=V")</f>
        <v>0</v>
      </c>
      <c r="AO2">
        <f>BDH("CPK US Equity","CF_FREE_CASH_FLOW","2016-06-30","2021-06-30","Per=Y","Days=T","Dir=V")</f>
        <v>0</v>
      </c>
      <c r="AQ2">
        <f>BDH("CPK US Equity","PX_LAST","2016-06-30","2021-06-30","Per=M","Days=T","Dir=V")</f>
        <v>0</v>
      </c>
      <c r="AS2">
        <f>BDH("CPK US Equity","CUR_MKT_CAP","2016-06-30","2021-06-30","Per=M","Days=T","Dir=V")</f>
        <v>0</v>
      </c>
      <c r="AU2">
        <f>BDH("CPK US Equity","EQY_SH_OUT","2016-06-30","2021-06-30","Per=M","Days=T","Dir=V")</f>
        <v>0</v>
      </c>
      <c r="AW2">
        <f>BDH("CPK US Equity","BETA_RAW_OVERRIABLE","2016-06-30","2021-06-30","Per=M","Days=T","Dir=V")</f>
        <v>0</v>
      </c>
      <c r="AY2">
        <f>BDH("CPK US Equity","PX_VOLUME","2016-06-30","2021-06-30","Per=M","Days=T","Dir=V")</f>
        <v>0</v>
      </c>
      <c r="BA2">
        <f>BDH("CPK US Equity","TURNOVER","2016-06-30","2021-06-30","Per=M","Days=T","Dir=V")</f>
        <v>0</v>
      </c>
      <c r="BC2">
        <f>BDH("CPK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BDH("NWN US Equity","BS_TOT_ASSET","2016-06-30","2021-06-30","Per=Y","Days=T","Dir=V")</f>
        <v>0</v>
      </c>
      <c r="C2">
        <f>BDH("NWN US Equity","BS_TOT_LIAB2","2016-06-30","2021-06-30","Per=Y","Days=T","Dir=V")</f>
        <v>0</v>
      </c>
      <c r="E2">
        <f>BDH("NWN US Equity","SHORT_AND_LONG_TERM_DEBT","2016-06-30","2021-06-30","Per=Y","Days=T","Dir=V")</f>
        <v>0</v>
      </c>
      <c r="G2">
        <f>BDH("NWN US Equity","BS_ST_BORROW","2016-06-30","2021-06-30","Per=Y","Days=T","Dir=V")</f>
        <v>0</v>
      </c>
      <c r="I2">
        <f>BDH("NWN US Equity","BS_LT_BORROW","2016-06-30","2021-06-30","Per=Y","Days=T","Dir=V")</f>
        <v>0</v>
      </c>
      <c r="K2">
        <f>BDH("NWN US Equity","BS_CASH_NEAR_CASH_ITEM","2016-06-30","2021-06-30","Per=Y","Days=T","Dir=V")</f>
        <v>0</v>
      </c>
      <c r="M2">
        <f>BDH("NWN US Equity","BS_CUR_ASSET_REPORT","2016-06-30","2021-06-30","Per=Y","Days=T","Dir=V")</f>
        <v>0</v>
      </c>
      <c r="O2">
        <f>BDH("NWN US Equity","BS_CUR_LIAB","2016-06-30","2021-06-30","Per=Y","Days=T","Dir=V")</f>
        <v>0</v>
      </c>
      <c r="Q2">
        <f>BDH("NWN US Equity","BS_SHAREHOLDER_EQY_ENDING_PERIOD","2016-06-30","2021-06-30","Per=Y","Days=T","Dir=V")</f>
        <v>0</v>
      </c>
      <c r="S2">
        <f>BDH("NWN US Equity","BS_ACCT_NOTE_RCV","2016-06-30","2021-06-30","Per=Y","Days=T","Dir=V")</f>
        <v>0</v>
      </c>
      <c r="U2">
        <f>BDH("NWN US Equity","BS_INVENTORIES","2016-06-30","2021-06-30","Per=Y","Days=T","Dir=V")</f>
        <v>0</v>
      </c>
      <c r="W2">
        <f>BDH("NWN US Equity","WORKING_CAPITAL","2016-06-30","2021-06-30","Per=Y","Days=T","Dir=V")</f>
        <v>0</v>
      </c>
      <c r="Y2">
        <f>BDH("NWN US Equity","SALES_REV_TURN","2016-06-30","2021-06-30","Per=Y","Days=T","Dir=V")</f>
        <v>0</v>
      </c>
      <c r="AA2">
        <f>BDH("NWN US Equity","EBIT","2016-06-30","2021-06-30","Per=Y","Days=T","Dir=V")</f>
        <v>0</v>
      </c>
      <c r="AC2">
        <f>BDH("NWN US Equity","EBITDA","2016-06-30","2021-06-30","Per=Y","Days=T","Dir=V")</f>
        <v>0</v>
      </c>
      <c r="AE2">
        <f>BDH("NWN US Equity","NET_INCOME","2016-06-30","2021-06-30","Per=Y","Days=T","Dir=V")</f>
        <v>0</v>
      </c>
      <c r="AG2">
        <f>BDH("NWN US Equity","IS_INT_EXPENSE","2016-06-30","2021-06-30","Per=Y","Days=T","Dir=V")</f>
        <v>0</v>
      </c>
      <c r="AI2">
        <f>BDH("NWN US Equity","IS_DEPR_EXP","2016-06-30","2021-06-30","Per=Y","Days=T","Dir=V")</f>
        <v>0</v>
      </c>
      <c r="AK2">
        <f>BDH("NWN US Equity","CF_CASH_FROM_OPER","2016-06-30","2021-06-30","Per=Y","Days=T","Dir=V")</f>
        <v>0</v>
      </c>
      <c r="AM2">
        <f>BDH("NWN US Equity","CAPITAL_EXPEND","2016-06-30","2021-06-30","Per=Y","Days=T","Dir=V")</f>
        <v>0</v>
      </c>
      <c r="AO2">
        <f>BDH("NWN US Equity","CF_FREE_CASH_FLOW","2016-06-30","2021-06-30","Per=Y","Days=T","Dir=V")</f>
        <v>0</v>
      </c>
      <c r="AQ2">
        <f>BDH("NWN US Equity","PX_LAST","2016-06-30","2021-06-30","Per=M","Days=T","Dir=V")</f>
        <v>0</v>
      </c>
      <c r="AS2">
        <f>BDH("NWN US Equity","CUR_MKT_CAP","2016-06-30","2021-06-30","Per=M","Days=T","Dir=V")</f>
        <v>0</v>
      </c>
      <c r="AU2">
        <f>BDH("NWN US Equity","EQY_SH_OUT","2016-06-30","2021-06-30","Per=M","Days=T","Dir=V")</f>
        <v>0</v>
      </c>
      <c r="AW2">
        <f>BDH("NWN US Equity","BETA_RAW_OVERRIABLE","2016-06-30","2021-06-30","Per=M","Days=T","Dir=V")</f>
        <v>0</v>
      </c>
      <c r="AY2">
        <f>BDH("NWN US Equity","PX_VOLUME","2016-06-30","2021-06-30","Per=M","Days=T","Dir=V")</f>
        <v>0</v>
      </c>
      <c r="BA2">
        <f>BDH("NWN US Equity","TURNOVER","2016-06-30","2021-06-30","Per=M","Days=T","Dir=V")</f>
        <v>0</v>
      </c>
      <c r="BC2">
        <f>BDH("NWN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BDH("NI US Equity","BS_TOT_ASSET","2016-06-30","2021-06-30","Per=Y","Days=T","Dir=V")</f>
        <v>0</v>
      </c>
      <c r="C2">
        <f>BDH("NI US Equity","BS_TOT_LIAB2","2016-06-30","2021-06-30","Per=Y","Days=T","Dir=V")</f>
        <v>0</v>
      </c>
      <c r="E2">
        <f>BDH("NI US Equity","SHORT_AND_LONG_TERM_DEBT","2016-06-30","2021-06-30","Per=Y","Days=T","Dir=V")</f>
        <v>0</v>
      </c>
      <c r="G2">
        <f>BDH("NI US Equity","BS_ST_BORROW","2016-06-30","2021-06-30","Per=Y","Days=T","Dir=V")</f>
        <v>0</v>
      </c>
      <c r="I2">
        <f>BDH("NI US Equity","BS_LT_BORROW","2016-06-30","2021-06-30","Per=Y","Days=T","Dir=V")</f>
        <v>0</v>
      </c>
      <c r="K2">
        <f>BDH("NI US Equity","BS_CASH_NEAR_CASH_ITEM","2016-06-30","2021-06-30","Per=Y","Days=T","Dir=V")</f>
        <v>0</v>
      </c>
      <c r="M2">
        <f>BDH("NI US Equity","BS_CUR_ASSET_REPORT","2016-06-30","2021-06-30","Per=Y","Days=T","Dir=V")</f>
        <v>0</v>
      </c>
      <c r="O2">
        <f>BDH("NI US Equity","BS_CUR_LIAB","2016-06-30","2021-06-30","Per=Y","Days=T","Dir=V")</f>
        <v>0</v>
      </c>
      <c r="Q2">
        <f>BDH("NI US Equity","BS_SHAREHOLDER_EQY_ENDING_PERIOD","2016-06-30","2021-06-30","Per=Y","Days=T","Dir=V")</f>
        <v>0</v>
      </c>
      <c r="S2">
        <f>BDH("NI US Equity","BS_ACCT_NOTE_RCV","2016-06-30","2021-06-30","Per=Y","Days=T","Dir=V")</f>
        <v>0</v>
      </c>
      <c r="U2">
        <f>BDH("NI US Equity","BS_INVENTORIES","2016-06-30","2021-06-30","Per=Y","Days=T","Dir=V")</f>
        <v>0</v>
      </c>
      <c r="W2">
        <f>BDH("NI US Equity","WORKING_CAPITAL","2016-06-30","2021-06-30","Per=Y","Days=T","Dir=V")</f>
        <v>0</v>
      </c>
      <c r="Y2">
        <f>BDH("NI US Equity","SALES_REV_TURN","2016-06-30","2021-06-30","Per=Y","Days=T","Dir=V")</f>
        <v>0</v>
      </c>
      <c r="AA2">
        <f>BDH("NI US Equity","EBIT","2016-06-30","2021-06-30","Per=Y","Days=T","Dir=V")</f>
        <v>0</v>
      </c>
      <c r="AC2">
        <f>BDH("NI US Equity","EBITDA","2016-06-30","2021-06-30","Per=Y","Days=T","Dir=V")</f>
        <v>0</v>
      </c>
      <c r="AE2">
        <f>BDH("NI US Equity","NET_INCOME","2016-06-30","2021-06-30","Per=Y","Days=T","Dir=V")</f>
        <v>0</v>
      </c>
      <c r="AG2">
        <f>BDH("NI US Equity","IS_INT_EXPENSE","2016-06-30","2021-06-30","Per=Y","Days=T","Dir=V")</f>
        <v>0</v>
      </c>
      <c r="AI2">
        <f>BDH("NI US Equity","IS_DEPR_EXP","2016-06-30","2021-06-30","Per=Y","Days=T","Dir=V")</f>
        <v>0</v>
      </c>
      <c r="AK2">
        <f>BDH("NI US Equity","CF_CASH_FROM_OPER","2016-06-30","2021-06-30","Per=Y","Days=T","Dir=V")</f>
        <v>0</v>
      </c>
      <c r="AM2">
        <f>BDH("NI US Equity","CAPITAL_EXPEND","2016-06-30","2021-06-30","Per=Y","Days=T","Dir=V")</f>
        <v>0</v>
      </c>
      <c r="AO2">
        <f>BDH("NI US Equity","CF_FREE_CASH_FLOW","2016-06-30","2021-06-30","Per=Y","Days=T","Dir=V")</f>
        <v>0</v>
      </c>
      <c r="AQ2">
        <f>BDH("NI US Equity","PX_LAST","2016-06-30","2021-06-30","Per=M","Days=T","Dir=V")</f>
        <v>0</v>
      </c>
      <c r="AS2">
        <f>BDH("NI US Equity","CUR_MKT_CAP","2016-06-30","2021-06-30","Per=M","Days=T","Dir=V")</f>
        <v>0</v>
      </c>
      <c r="AU2">
        <f>BDH("NI US Equity","EQY_SH_OUT","2016-06-30","2021-06-30","Per=M","Days=T","Dir=V")</f>
        <v>0</v>
      </c>
      <c r="AW2">
        <f>BDH("NI US Equity","BETA_RAW_OVERRIABLE","2016-06-30","2021-06-30","Per=M","Days=T","Dir=V")</f>
        <v>0</v>
      </c>
      <c r="AY2">
        <f>BDH("NI US Equity","PX_VOLUME","2016-06-30","2021-06-30","Per=M","Days=T","Dir=V")</f>
        <v>0</v>
      </c>
      <c r="BA2">
        <f>BDH("NI US Equity","TURNOVER","2016-06-30","2021-06-30","Per=M","Days=T","Dir=V")</f>
        <v>0</v>
      </c>
      <c r="BC2">
        <f>BDH("NI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BDH("CIEN US Equity","BS_TOT_ASSET","2016-06-30","2021-06-30","Per=Y","Days=T","Dir=V")</f>
        <v>0</v>
      </c>
      <c r="C2">
        <f>BDH("CIEN US Equity","BS_TOT_LIAB2","2016-06-30","2021-06-30","Per=Y","Days=T","Dir=V")</f>
        <v>0</v>
      </c>
      <c r="E2">
        <f>BDH("CIEN US Equity","SHORT_AND_LONG_TERM_DEBT","2016-06-30","2021-06-30","Per=Y","Days=T","Dir=V")</f>
        <v>0</v>
      </c>
      <c r="G2">
        <f>BDH("CIEN US Equity","BS_ST_BORROW","2016-06-30","2021-06-30","Per=Y","Days=T","Dir=V")</f>
        <v>0</v>
      </c>
      <c r="I2">
        <f>BDH("CIEN US Equity","BS_LT_BORROW","2016-06-30","2021-06-30","Per=Y","Days=T","Dir=V")</f>
        <v>0</v>
      </c>
      <c r="K2">
        <f>BDH("CIEN US Equity","BS_CASH_NEAR_CASH_ITEM","2016-06-30","2021-06-30","Per=Y","Days=T","Dir=V")</f>
        <v>0</v>
      </c>
      <c r="M2">
        <f>BDH("CIEN US Equity","BS_CUR_ASSET_REPORT","2016-06-30","2021-06-30","Per=Y","Days=T","Dir=V")</f>
        <v>0</v>
      </c>
      <c r="O2">
        <f>BDH("CIEN US Equity","BS_CUR_LIAB","2016-06-30","2021-06-30","Per=Y","Days=T","Dir=V")</f>
        <v>0</v>
      </c>
      <c r="Q2">
        <f>BDH("CIEN US Equity","BS_SHAREHOLDER_EQY_ENDING_PERIOD","2016-06-30","2021-06-30","Per=Y","Days=T","Dir=V")</f>
        <v>0</v>
      </c>
      <c r="S2">
        <f>BDH("CIEN US Equity","BS_ACCT_NOTE_RCV","2016-06-30","2021-06-30","Per=Y","Days=T","Dir=V")</f>
        <v>0</v>
      </c>
      <c r="U2">
        <f>BDH("CIEN US Equity","BS_INVENTORIES","2016-06-30","2021-06-30","Per=Y","Days=T","Dir=V")</f>
        <v>0</v>
      </c>
      <c r="W2">
        <f>BDH("CIEN US Equity","WORKING_CAPITAL","2016-06-30","2021-06-30","Per=Y","Days=T","Dir=V")</f>
        <v>0</v>
      </c>
      <c r="Y2">
        <f>BDH("CIEN US Equity","SALES_REV_TURN","2016-06-30","2021-06-30","Per=Y","Days=T","Dir=V")</f>
        <v>0</v>
      </c>
      <c r="AA2">
        <f>BDH("CIEN US Equity","EBIT","2016-06-30","2021-06-30","Per=Y","Days=T","Dir=V")</f>
        <v>0</v>
      </c>
      <c r="AC2">
        <f>BDH("CIEN US Equity","EBITDA","2016-06-30","2021-06-30","Per=Y","Days=T","Dir=V")</f>
        <v>0</v>
      </c>
      <c r="AE2">
        <f>BDH("CIEN US Equity","NET_INCOME","2016-06-30","2021-06-30","Per=Y","Days=T","Dir=V")</f>
        <v>0</v>
      </c>
      <c r="AG2">
        <f>BDH("CIEN US Equity","IS_INT_EXPENSE","2016-06-30","2021-06-30","Per=Y","Days=T","Dir=V")</f>
        <v>0</v>
      </c>
      <c r="AI2">
        <f>BDH("CIEN US Equity","IS_DEPR_EXP","2016-06-30","2021-06-30","Per=Y","Days=T","Dir=V")</f>
        <v>0</v>
      </c>
      <c r="AK2">
        <f>BDH("CIEN US Equity","CF_CASH_FROM_OPER","2016-06-30","2021-06-30","Per=Y","Days=T","Dir=V")</f>
        <v>0</v>
      </c>
      <c r="AM2">
        <f>BDH("CIEN US Equity","CAPITAL_EXPEND","2016-06-30","2021-06-30","Per=Y","Days=T","Dir=V")</f>
        <v>0</v>
      </c>
      <c r="AO2">
        <f>BDH("CIEN US Equity","CF_FREE_CASH_FLOW","2016-06-30","2021-06-30","Per=Y","Days=T","Dir=V")</f>
        <v>0</v>
      </c>
      <c r="AQ2">
        <f>BDH("CIEN US Equity","PX_LAST","2016-06-30","2021-06-30","Per=M","Days=T","Dir=V")</f>
        <v>0</v>
      </c>
      <c r="AS2">
        <f>BDH("CIEN US Equity","CUR_MKT_CAP","2016-06-30","2021-06-30","Per=M","Days=T","Dir=V")</f>
        <v>0</v>
      </c>
      <c r="AU2">
        <f>BDH("CIEN US Equity","EQY_SH_OUT","2016-06-30","2021-06-30","Per=M","Days=T","Dir=V")</f>
        <v>0</v>
      </c>
      <c r="AW2">
        <f>BDH("CIEN US Equity","BETA_RAW_OVERRIABLE","2016-06-30","2021-06-30","Per=M","Days=T","Dir=V")</f>
        <v>0</v>
      </c>
      <c r="AY2">
        <f>BDH("CIEN US Equity","PX_VOLUME","2016-06-30","2021-06-30","Per=M","Days=T","Dir=V")</f>
        <v>0</v>
      </c>
      <c r="BA2">
        <f>BDH("CIEN US Equity","TURNOVER","2016-06-30","2021-06-30","Per=M","Days=T","Dir=V")</f>
        <v>0</v>
      </c>
      <c r="BC2">
        <f>BDH("CIEN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</row>
    <row r="2" spans="1:56">
      <c r="A2">
        <f>BDH("WTRG US Equity","BS_TOT_ASSET","2016-06-30","2021-06-30","Per=Y","Days=T","Dir=V")</f>
        <v>0</v>
      </c>
      <c r="C2">
        <f>BDH("WTRG US Equity","BS_TOT_LIAB2","2016-06-30","2021-06-30","Per=Y","Days=T","Dir=V")</f>
        <v>0</v>
      </c>
      <c r="E2">
        <f>BDH("WTRG US Equity","SHORT_AND_LONG_TERM_DEBT","2016-06-30","2021-06-30","Per=Y","Days=T","Dir=V")</f>
        <v>0</v>
      </c>
      <c r="G2">
        <f>BDH("WTRG US Equity","BS_ST_BORROW","2016-06-30","2021-06-30","Per=Y","Days=T","Dir=V")</f>
        <v>0</v>
      </c>
      <c r="I2">
        <f>BDH("WTRG US Equity","BS_LT_BORROW","2016-06-30","2021-06-30","Per=Y","Days=T","Dir=V")</f>
        <v>0</v>
      </c>
      <c r="K2">
        <f>BDH("WTRG US Equity","BS_CASH_NEAR_CASH_ITEM","2016-06-30","2021-06-30","Per=Y","Days=T","Dir=V")</f>
        <v>0</v>
      </c>
      <c r="M2">
        <f>BDH("WTRG US Equity","BS_CUR_ASSET_REPORT","2016-06-30","2021-06-30","Per=Y","Days=T","Dir=V")</f>
        <v>0</v>
      </c>
      <c r="O2">
        <f>BDH("WTRG US Equity","BS_CUR_LIAB","2016-06-30","2021-06-30","Per=Y","Days=T","Dir=V")</f>
        <v>0</v>
      </c>
      <c r="Q2">
        <f>BDH("WTRG US Equity","BS_SHAREHOLDER_EQY_ENDING_PERIOD","2016-06-30","2021-06-30","Per=Y","Days=T","Dir=V")</f>
        <v>0</v>
      </c>
      <c r="S2">
        <f>BDH("WTRG US Equity","BS_ACCT_NOTE_RCV","2016-06-30","2021-06-30","Per=Y","Days=T","Dir=V")</f>
        <v>0</v>
      </c>
      <c r="U2">
        <f>BDH("WTRG US Equity","BS_INVENTORIES","2016-06-30","2021-06-30","Per=Y","Days=T","Dir=V")</f>
        <v>0</v>
      </c>
      <c r="W2">
        <f>BDH("WTRG US Equity","WORKING_CAPITAL","2016-06-30","2021-06-30","Per=Y","Days=T","Dir=V")</f>
        <v>0</v>
      </c>
      <c r="Y2">
        <f>BDH("WTRG US Equity","SALES_REV_TURN","2016-06-30","2021-06-30","Per=Y","Days=T","Dir=V")</f>
        <v>0</v>
      </c>
      <c r="AA2">
        <f>BDH("WTRG US Equity","EBIT","2016-06-30","2021-06-30","Per=Y","Days=T","Dir=V")</f>
        <v>0</v>
      </c>
      <c r="AC2">
        <f>BDH("WTRG US Equity","EBITDA","2016-06-30","2021-06-30","Per=Y","Days=T","Dir=V")</f>
        <v>0</v>
      </c>
      <c r="AE2">
        <f>BDH("WTRG US Equity","NET_INCOME","2016-06-30","2021-06-30","Per=Y","Days=T","Dir=V")</f>
        <v>0</v>
      </c>
      <c r="AG2">
        <f>BDH("WTRG US Equity","IS_INT_EXPENSE","2016-06-30","2021-06-30","Per=Y","Days=T","Dir=V")</f>
        <v>0</v>
      </c>
      <c r="AI2">
        <f>BDH("WTRG US Equity","IS_DEPR_EXP","2016-06-30","2021-06-30","Per=Y","Days=T","Dir=V")</f>
        <v>0</v>
      </c>
      <c r="AK2">
        <f>BDH("WTRG US Equity","CF_CASH_FROM_OPER","2016-06-30","2021-06-30","Per=Y","Days=T","Dir=V")</f>
        <v>0</v>
      </c>
      <c r="AM2">
        <f>BDH("WTRG US Equity","CAPITAL_EXPEND","2016-06-30","2021-06-30","Per=Y","Days=T","Dir=V")</f>
        <v>0</v>
      </c>
      <c r="AO2">
        <f>BDH("WTRG US Equity","CF_FREE_CASH_FLOW","2016-06-30","2021-06-30","Per=Y","Days=T","Dir=V")</f>
        <v>0</v>
      </c>
      <c r="AQ2">
        <f>BDH("WTRG US Equity","PX_LAST","2016-06-30","2021-06-30","Per=M","Days=T","Dir=V")</f>
        <v>0</v>
      </c>
      <c r="AS2">
        <f>BDH("WTRG US Equity","CUR_MKT_CAP","2016-06-30","2021-06-30","Per=M","Days=T","Dir=V")</f>
        <v>0</v>
      </c>
      <c r="AU2">
        <f>BDH("WTRG US Equity","EQY_SH_OUT","2016-06-30","2021-06-30","Per=M","Days=T","Dir=V")</f>
        <v>0</v>
      </c>
      <c r="AW2">
        <f>BDH("WTRG US Equity","BETA_RAW_OVERRIABLE","2016-06-30","2021-06-30","Per=M","Days=T","Dir=V")</f>
        <v>0</v>
      </c>
      <c r="AY2">
        <f>BDH("WTRG US Equity","PX_VOLUME","2016-06-30","2021-06-30","Per=M","Days=T","Dir=V")</f>
        <v>0</v>
      </c>
      <c r="BA2">
        <f>BDH("WTRG US Equity","TURNOVER","2016-06-30","2021-06-30","Per=M","Days=T","Dir=V")</f>
        <v>0</v>
      </c>
      <c r="BC2">
        <f>BDH("WTRG US Equity","SPREAD_BA_CR","2016-06-30","2021-06-30","Per=M","Days=T","Dir=V")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Security_List</vt:lpstr>
      <vt:lpstr>NB_2730_Synopsys Inc. Common St</vt:lpstr>
      <vt:lpstr>NB_2803_Strategy Inc 10.00% Ser</vt:lpstr>
      <vt:lpstr>NB_3249_Xperi Inc. Common Stock</vt:lpstr>
      <vt:lpstr>NB_2720_Snap Inc. Class A Commo</vt:lpstr>
      <vt:lpstr>NB_2870_Teads Holding Co. Commo</vt:lpstr>
      <vt:lpstr>NB_111_Ainos Inc. Common Stock</vt:lpstr>
      <vt:lpstr>NB_1219_GE Aerospace Common Sto</vt:lpstr>
      <vt:lpstr>NB_285_Asure Software Inc Commo</vt:lpstr>
      <vt:lpstr>NB_484_Boost Run Inc. Class A C</vt:lpstr>
      <vt:lpstr>NB_1217_GoodRx Holdings Inc. Cl</vt:lpstr>
      <vt:lpstr>NB_1371_Hinge Health Inc. Class</vt:lpstr>
      <vt:lpstr>NB_2244_Paysign Inc. Common Sto</vt:lpstr>
      <vt:lpstr>NB_2273_Pegasystems Inc. Common</vt:lpstr>
      <vt:lpstr>NB_2486_Rigetti Computing Inc. </vt:lpstr>
      <vt:lpstr>NB_223_Amphenol Corporation Com</vt:lpstr>
      <vt:lpstr>NB_266_Arrow Electronics Inc. C</vt:lpstr>
      <vt:lpstr>NB_1019_Enerpac Tool Group Corp</vt:lpstr>
      <vt:lpstr>NB_117_Airgain Inc. Common Stoc</vt:lpstr>
      <vt:lpstr>NB_649_Climb Global Solutions I</vt:lpstr>
      <vt:lpstr>NB_3_Applied Optoelectronics In</vt:lpstr>
      <vt:lpstr>NB_139_Allegro MicroSystems Inc</vt:lpstr>
      <vt:lpstr>NB_177_Amkor Technology Inc. Co</vt:lpstr>
      <vt:lpstr>NB_1637_Kopin Corporation Commo</vt:lpstr>
      <vt:lpstr>NB_1945_Marvell Technology Inc.</vt:lpstr>
      <vt:lpstr>NB_1720_Liberty Latin America L</vt:lpstr>
      <vt:lpstr>NB_1511_Intrusion Inc. Common S</vt:lpstr>
      <vt:lpstr>NB_1818_Matthews International </vt:lpstr>
      <vt:lpstr>NB_2913_T-Mobile US Inc. 5.500%</vt:lpstr>
      <vt:lpstr>NB_82_American Electric Power C</vt:lpstr>
      <vt:lpstr>NB_590_Constellation Energy Cor</vt:lpstr>
      <vt:lpstr>NB_2054_Nano Nuclear Energy Inc</vt:lpstr>
      <vt:lpstr>NB_335_Avalon Holdings Corporat</vt:lpstr>
      <vt:lpstr>NB_165_Antero Midstream Corpora</vt:lpstr>
      <vt:lpstr>NB_724_Chesapeake Utilities Cor</vt:lpstr>
      <vt:lpstr>NB_2115_Northwest Natural Holdi</vt:lpstr>
      <vt:lpstr>NB_2036_NiSource Inc Common Sto</vt:lpstr>
      <vt:lpstr>NB_630_Ciena Corporation Common</vt:lpstr>
      <vt:lpstr>NB_3213_Essential Utilities Inc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2026-09-30T16:51:36Z</dcterms:created>
  <dcterms:modified xsi:type="dcterms:W3CDTF">2026-09-30T16:51:36Z</dcterms:modified>
</cp:coreProperties>
</file>